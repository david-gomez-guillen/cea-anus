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home\david\anus\params\"/>
    </mc:Choice>
  </mc:AlternateContent>
  <xr:revisionPtr revIDLastSave="0" documentId="13_ncr:1_{970B377D-8B5C-4B9F-9E49-543497AEB005}" xr6:coauthVersionLast="47" xr6:coauthVersionMax="47" xr10:uidLastSave="{00000000-0000-0000-0000-000000000000}"/>
  <bookViews>
    <workbookView xWindow="-110" yWindow="-110" windowWidth="19420" windowHeight="10420" xr2:uid="{45105E01-CB45-454B-A410-687B1C9BDE7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1" l="1"/>
  <c r="D6" i="1"/>
  <c r="C17" i="1"/>
  <c r="C6" i="1"/>
</calcChain>
</file>

<file path=xl/sharedStrings.xml><?xml version="1.0" encoding="utf-8"?>
<sst xmlns="http://schemas.openxmlformats.org/spreadsheetml/2006/main" count="27" uniqueCount="20">
  <si>
    <t>CD4 distribution</t>
  </si>
  <si>
    <t>&gt;500</t>
  </si>
  <si>
    <t>200-500</t>
  </si>
  <si>
    <t>&lt;200</t>
  </si>
  <si>
    <t>Normal to HGAIN</t>
  </si>
  <si>
    <t>Source: Deshmuk 2015</t>
  </si>
  <si>
    <t>Age</t>
  </si>
  <si>
    <t>&lt;35</t>
  </si>
  <si>
    <t>46-55</t>
  </si>
  <si>
    <t>36-45</t>
  </si>
  <si>
    <t>&gt;55</t>
  </si>
  <si>
    <t>HGAIN regression (1y)</t>
  </si>
  <si>
    <t>Overall</t>
  </si>
  <si>
    <t>&lt;30</t>
  </si>
  <si>
    <t>30-39</t>
  </si>
  <si>
    <t>40-49</t>
  </si>
  <si>
    <t>&gt;50</t>
  </si>
  <si>
    <t>HGAIN to anal cancer (calibrated)</t>
  </si>
  <si>
    <t>Source: ELAVI</t>
  </si>
  <si>
    <t>Utilities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</si>
</sst>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85D7C-A208-42DB-AC98-6E17F53E3E7A}">
  <dimension ref="A1:K19"/>
  <sheetViews>
    <sheetView tabSelected="1" zoomScale="115" zoomScaleNormal="115" workbookViewId="0">
      <selection activeCell="C9" sqref="C9"/>
    </sheetView>
  </sheetViews>
  <sheetFormatPr baseColWidth="10" defaultRowHeight="14.5" x14ac:dyDescent="0.35"/>
  <cols>
    <col min="2" max="2" width="15.26953125" bestFit="1" customWidth="1"/>
    <col min="3" max="3" width="16.26953125" bestFit="1" customWidth="1"/>
    <col min="7" max="7" width="20.54296875" bestFit="1" customWidth="1"/>
    <col min="11" max="11" width="30.54296875" bestFit="1" customWidth="1"/>
  </cols>
  <sheetData>
    <row r="1" spans="1:11" x14ac:dyDescent="0.35">
      <c r="B1" t="s">
        <v>0</v>
      </c>
      <c r="C1" t="s">
        <v>4</v>
      </c>
      <c r="D1" t="s">
        <v>19</v>
      </c>
      <c r="F1" t="s">
        <v>6</v>
      </c>
      <c r="G1" t="s">
        <v>11</v>
      </c>
      <c r="J1" t="s">
        <v>6</v>
      </c>
      <c r="K1" t="s">
        <v>17</v>
      </c>
    </row>
    <row r="2" spans="1:11" x14ac:dyDescent="0.35">
      <c r="A2" t="s">
        <v>1</v>
      </c>
      <c r="B2" s="3">
        <v>0.11650000000000001</v>
      </c>
      <c r="C2">
        <v>5.2999999999999999E-2</v>
      </c>
      <c r="D2">
        <v>0.94</v>
      </c>
      <c r="F2" t="s">
        <v>7</v>
      </c>
      <c r="G2" s="1">
        <v>0.40400000000000003</v>
      </c>
      <c r="J2" t="s">
        <v>13</v>
      </c>
      <c r="K2" s="1">
        <v>3.5999999999999999E-3</v>
      </c>
    </row>
    <row r="3" spans="1:11" x14ac:dyDescent="0.35">
      <c r="A3" t="s">
        <v>2</v>
      </c>
      <c r="B3" s="3">
        <v>0.29730000000000001</v>
      </c>
      <c r="C3">
        <v>5.2999999999999999E-2</v>
      </c>
      <c r="D3">
        <v>0.87</v>
      </c>
      <c r="F3" t="s">
        <v>9</v>
      </c>
      <c r="G3" s="1">
        <v>0.314</v>
      </c>
      <c r="J3" t="s">
        <v>14</v>
      </c>
      <c r="K3" s="1">
        <v>7.1000000000000004E-3</v>
      </c>
    </row>
    <row r="4" spans="1:11" x14ac:dyDescent="0.35">
      <c r="A4" t="s">
        <v>3</v>
      </c>
      <c r="B4" s="3">
        <v>0.58620000000000005</v>
      </c>
      <c r="C4">
        <v>0.13800000000000001</v>
      </c>
      <c r="D4">
        <v>0.8</v>
      </c>
      <c r="F4" t="s">
        <v>8</v>
      </c>
      <c r="G4" s="1">
        <v>0.219</v>
      </c>
      <c r="J4" t="s">
        <v>15</v>
      </c>
      <c r="K4" s="1">
        <v>1.0580000000000001E-2</v>
      </c>
    </row>
    <row r="5" spans="1:11" x14ac:dyDescent="0.35">
      <c r="F5" t="s">
        <v>10</v>
      </c>
      <c r="G5" s="1">
        <v>4.8000000000000001E-2</v>
      </c>
      <c r="J5" t="s">
        <v>16</v>
      </c>
      <c r="K5" s="1">
        <v>4.8999999999999998E-4</v>
      </c>
    </row>
    <row r="6" spans="1:11" x14ac:dyDescent="0.35">
      <c r="C6" s="1">
        <f>B2*C2+B3*C3+B4*C4</f>
        <v>0.10282700000000002</v>
      </c>
      <c r="D6" s="1">
        <f>B2*D2+B3*D3+B4*D4</f>
        <v>0.837121</v>
      </c>
    </row>
    <row r="7" spans="1:11" x14ac:dyDescent="0.35">
      <c r="F7" t="s">
        <v>12</v>
      </c>
      <c r="G7">
        <v>0.23499999999999999</v>
      </c>
    </row>
    <row r="9" spans="1:11" x14ac:dyDescent="0.35">
      <c r="A9" t="s">
        <v>5</v>
      </c>
    </row>
    <row r="10" spans="1:11" x14ac:dyDescent="0.35">
      <c r="A10" s="2"/>
      <c r="B10" s="2"/>
      <c r="C10" s="2"/>
    </row>
    <row r="12" spans="1:11" x14ac:dyDescent="0.35">
      <c r="B12" t="s">
        <v>0</v>
      </c>
      <c r="C12" t="s">
        <v>4</v>
      </c>
      <c r="D12" t="s">
        <v>19</v>
      </c>
    </row>
    <row r="13" spans="1:11" x14ac:dyDescent="0.35">
      <c r="A13" t="s">
        <v>1</v>
      </c>
      <c r="B13" s="3">
        <v>0.83898305084745761</v>
      </c>
      <c r="C13">
        <v>5.2999999999999999E-2</v>
      </c>
      <c r="D13">
        <v>0.94</v>
      </c>
    </row>
    <row r="14" spans="1:11" x14ac:dyDescent="0.35">
      <c r="A14" t="s">
        <v>2</v>
      </c>
      <c r="B14" s="3">
        <v>0.14689265536723164</v>
      </c>
      <c r="C14">
        <v>5.2999999999999999E-2</v>
      </c>
      <c r="D14">
        <v>0.87</v>
      </c>
    </row>
    <row r="15" spans="1:11" x14ac:dyDescent="0.35">
      <c r="A15" t="s">
        <v>3</v>
      </c>
      <c r="B15" s="3">
        <v>1.4124293785310734E-2</v>
      </c>
      <c r="C15">
        <v>0.13800000000000001</v>
      </c>
      <c r="D15">
        <v>0.8</v>
      </c>
    </row>
    <row r="17" spans="1:4" x14ac:dyDescent="0.35">
      <c r="C17" s="1">
        <f>B13*C13+B14*C14+B15*C15</f>
        <v>5.4200564971751408E-2</v>
      </c>
      <c r="D17" s="1">
        <f>B13*D13+B14*D14+B15*D15</f>
        <v>0.92774011299435022</v>
      </c>
    </row>
    <row r="19" spans="1:4" x14ac:dyDescent="0.35">
      <c r="A1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Gómez Guillén, David (IDIBELL)</dc:creator>
  <cp:lastModifiedBy>Gómez Guillén, David</cp:lastModifiedBy>
  <dcterms:created xsi:type="dcterms:W3CDTF">2023-05-31T12:01:35Z</dcterms:created>
  <dcterms:modified xsi:type="dcterms:W3CDTF">2025-04-01T15:43:40Z</dcterms:modified>
</cp:coreProperties>
</file>