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y25_29" sheetId="1" state="visible" r:id="rId2"/>
    <sheet name="y30_34" sheetId="2" state="visible" r:id="rId3"/>
    <sheet name="y35_39" sheetId="3" state="visible" r:id="rId4"/>
    <sheet name="y40_44" sheetId="4" state="visible" r:id="rId5"/>
    <sheet name="y45_49" sheetId="5" state="visible" r:id="rId6"/>
    <sheet name="y50_54" sheetId="6" state="visible" r:id="rId7"/>
    <sheet name="y55_59" sheetId="7" state="visible" r:id="rId8"/>
    <sheet name="y60_64" sheetId="8" state="visible" r:id="rId9"/>
    <sheet name="y65_69" sheetId="9" state="visible" r:id="rId10"/>
    <sheet name="y70_74" sheetId="10" state="visible" r:id="rId11"/>
    <sheet name="y75_79" sheetId="11" state="visible" r:id="rId12"/>
    <sheet name="y80_84" sheetId="12" state="visible" r:id="rId1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<sst xmlns="http://schemas.openxmlformats.org/spreadsheetml/2006/main" count="301" uniqueCount="135">
  <si>
    <t xml:space="preserve">variable</t>
  </si>
  <si>
    <t xml:space="preserve">value</t>
  </si>
  <si>
    <t xml:space="preserve">lower</t>
  </si>
  <si>
    <t xml:space="preserve">upper</t>
  </si>
  <si>
    <t xml:space="preserve">notes</t>
  </si>
  <si>
    <t xml:space="preserve">c_cyto</t>
  </si>
  <si>
    <t xml:space="preserve">Inventario ELAVI</t>
  </si>
  <si>
    <t xml:space="preserve">c_arnm16</t>
  </si>
  <si>
    <t xml:space="preserve">Inventario ELAVI (kit + tiempo técnico)</t>
  </si>
  <si>
    <t xml:space="preserve">c_arnm161845</t>
  </si>
  <si>
    <t xml:space="preserve">c_arnmhr</t>
  </si>
  <si>
    <t xml:space="preserve">c_arn_kit</t>
  </si>
  <si>
    <t xml:space="preserve">Inventario ELAVI [25€ (500/any) o 6€ (3000-70000/any)]</t>
  </si>
  <si>
    <t xml:space="preserve">c_hpv16la</t>
  </si>
  <si>
    <t xml:space="preserve">c_hpv1618la</t>
  </si>
  <si>
    <t xml:space="preserve">c_hpvhrla</t>
  </si>
  <si>
    <t xml:space="preserve">c_hpvla</t>
  </si>
  <si>
    <t xml:space="preserve">c_hpvhrhc</t>
  </si>
  <si>
    <t xml:space="preserve">c_followup</t>
  </si>
  <si>
    <t xml:space="preserve">c_followup_irc</t>
  </si>
  <si>
    <t xml:space="preserve">Followup cost (including IRC)</t>
  </si>
  <si>
    <t xml:space="preserve">c_followup_tca</t>
  </si>
  <si>
    <t xml:space="preserve">c_hra_followup</t>
  </si>
  <si>
    <t xml:space="preserve">Inventario ELAVI (actualizado Mireia)</t>
  </si>
  <si>
    <t xml:space="preserve">c_hra_treatment</t>
  </si>
  <si>
    <t xml:space="preserve">c_tca_single</t>
  </si>
  <si>
    <t xml:space="preserve">c_tca</t>
  </si>
  <si>
    <t xml:space="preserve">c_irc</t>
  </si>
  <si>
    <t xml:space="preserve">c_surgery</t>
  </si>
  <si>
    <t xml:space="preserve">GRD 231.01 Procediments majors sobre l'intestí gros, de complexitat menor</t>
  </si>
  <si>
    <t xml:space="preserve">n_tca</t>
  </si>
  <si>
    <t xml:space="preserve">ELAVI (Maria)</t>
  </si>
  <si>
    <t xml:space="preserve">p_cancer___hra_invasive_cancer</t>
  </si>
  <si>
    <t xml:space="preserve">Assumption</t>
  </si>
  <si>
    <t xml:space="preserve">p_cancer___hsil</t>
  </si>
  <si>
    <t xml:space="preserve">p_cancer___hsil_annual</t>
  </si>
  <si>
    <t xml:space="preserve">Deshmuk 2015 [HGAIN to anal cancer] (see deshmuk_calculations.xlsx)</t>
  </si>
  <si>
    <t xml:space="preserve">p_cyto_ascus_or_lsil___hsil</t>
  </si>
  <si>
    <t xml:space="preserve">ELAVI [(33+30)/157]</t>
  </si>
  <si>
    <t xml:space="preserve">p_cyto_ascus_or_lsil___no_hsil</t>
  </si>
  <si>
    <t xml:space="preserve">ELAVI [(24+31)/197]</t>
  </si>
  <si>
    <t xml:space="preserve">p_cyto_b___hsil</t>
  </si>
  <si>
    <t xml:space="preserve">ELAVI [43/157]</t>
  </si>
  <si>
    <t xml:space="preserve">p_cyto_b___no_hsil</t>
  </si>
  <si>
    <t xml:space="preserve">ELAVI [127/197]</t>
  </si>
  <si>
    <t xml:space="preserve">p_cyto_hsil___hsil</t>
  </si>
  <si>
    <t xml:space="preserve">ELAVI [(5+43)/157]</t>
  </si>
  <si>
    <t xml:space="preserve">p_cyto_hsil___no_hsil</t>
  </si>
  <si>
    <t xml:space="preserve">ELAVI [(5+0)/197]</t>
  </si>
  <si>
    <t xml:space="preserve">p_death_cancer</t>
  </si>
  <si>
    <t xml:space="preserve">p_death_other</t>
  </si>
  <si>
    <t xml:space="preserve">p_death_other_annual</t>
  </si>
  <si>
    <t xml:space="preserve">WHO [2016, Spain, prob death between 15-60 per 1000=74 -&gt; lambda=0.001708 -&gt; P(S&lt;1)=0.001706]</t>
  </si>
  <si>
    <t xml:space="preserve">p_arnm16_p___hsil</t>
  </si>
  <si>
    <t xml:space="preserve">ELAVI preprint (table 3)</t>
  </si>
  <si>
    <t xml:space="preserve">p_arnm16_p___no_hsil</t>
  </si>
  <si>
    <t xml:space="preserve">p_arnm161845_p___hsil</t>
  </si>
  <si>
    <t xml:space="preserve">ELAVI descriptive statistics (table 12, 52)</t>
  </si>
  <si>
    <t xml:space="preserve">p_arnm161845_p___no_hsil</t>
  </si>
  <si>
    <t xml:space="preserve">p_arnmhr_p___hsil</t>
  </si>
  <si>
    <t xml:space="preserve">p_arnmhr_p___no_hsil</t>
  </si>
  <si>
    <t xml:space="preserve">p_hpv16la_p___hsil</t>
  </si>
  <si>
    <t xml:space="preserve">p_hpv16la_p___no_hsil</t>
  </si>
  <si>
    <t xml:space="preserve">p_hpv1618la_p___hsil</t>
  </si>
  <si>
    <t xml:space="preserve">p_hpv1618la_p___no_hsil</t>
  </si>
  <si>
    <t xml:space="preserve">p_hpvhrla_p___hsil</t>
  </si>
  <si>
    <t xml:space="preserve">ELAVI preprint (table 3) </t>
  </si>
  <si>
    <t xml:space="preserve">p_hpvhrla_p___no_hsil</t>
  </si>
  <si>
    <t xml:space="preserve">p_hpvhrhc_p___hsil</t>
  </si>
  <si>
    <t xml:space="preserve">p_hpvhrhc_p___no_hsil</t>
  </si>
  <si>
    <t xml:space="preserve">p_hra_hsil___cyto_hsil__hsil</t>
  </si>
  <si>
    <t xml:space="preserve">ELAVI [134/157]</t>
  </si>
  <si>
    <t xml:space="preserve">p_hra_hsil___cyto_hsil__no_hsil</t>
  </si>
  <si>
    <t xml:space="preserve">ELAVI [0/197] (=0?)</t>
  </si>
  <si>
    <t xml:space="preserve">p_hra_hsil___cyto_no_hsil__hsil</t>
  </si>
  <si>
    <t xml:space="preserve">p_hra_hsil___cyto_no_hsil__no_hsil</t>
  </si>
  <si>
    <t xml:space="preserve">ELAVI [0/197]</t>
  </si>
  <si>
    <t xml:space="preserve">p_hra_invasive_cancer___cyto_hsil__hsil</t>
  </si>
  <si>
    <t xml:space="preserve">ELAVI [1/131] (small n?) (applying factor to match target annual incidence of ~85)</t>
  </si>
  <si>
    <t xml:space="preserve">p_hra_invasive_cancer___cyto_hsil__no_hsil</t>
  </si>
  <si>
    <t xml:space="preserve">p_hra_invasive_cancer___cyto_no_hsil__hsil</t>
  </si>
  <si>
    <t xml:space="preserve">ELAVI [1/131]</t>
  </si>
  <si>
    <t xml:space="preserve">p_hra_invasive_cancer___cyto_no_hsil__no_hsil</t>
  </si>
  <si>
    <t xml:space="preserve">p_hsil_regression___undetected_hsil</t>
  </si>
  <si>
    <t xml:space="preserve">p_hsil_regression___semestral_followup_hsil</t>
  </si>
  <si>
    <t xml:space="preserve">p_hsil_regression___semestral_followup_hsil_irc</t>
  </si>
  <si>
    <t xml:space="preserve">p_hsil_regression___semestral_followup_hsil_tca</t>
  </si>
  <si>
    <t xml:space="preserve">p_hsil_regression_annual</t>
  </si>
  <si>
    <t xml:space="preserve">ELAVI (aclaramiento, Ana)</t>
  </si>
  <si>
    <t xml:space="preserve">p_hsil___semestral_followup_no_hsil</t>
  </si>
  <si>
    <t xml:space="preserve">p_hsil___semestral_followup_no_hsil_treatment</t>
  </si>
  <si>
    <t xml:space="preserve">IRC relevant?</t>
  </si>
  <si>
    <t xml:space="preserve">p_undetected_hsil</t>
  </si>
  <si>
    <t xml:space="preserve">p_hsil_annual</t>
  </si>
  <si>
    <t xml:space="preserve">Deshmuk 2015 [Normal to HGAIN] (see deshmuk_calculations.xlsx)</t>
  </si>
  <si>
    <t xml:space="preserve">p_undetected_hsil_treatment</t>
  </si>
  <si>
    <t xml:space="preserve">p_undetected_hsil_treatment_whole_followup</t>
  </si>
  <si>
    <t xml:space="preserve">Recurrencia HSIL tras tto con electrocauterización (media de seguimiento de 17.5 años): 35% (Burgos J DOI:10.1097/QAD.0000000000001433)</t>
  </si>
  <si>
    <t xml:space="preserve">p_recurrence</t>
  </si>
  <si>
    <t xml:space="preserve">p_recurrence_annual</t>
  </si>
  <si>
    <t xml:space="preserve">???</t>
  </si>
  <si>
    <t xml:space="preserve">p_survive</t>
  </si>
  <si>
    <t xml:space="preserve">survival_5year</t>
  </si>
  <si>
    <t xml:space="preserve">Adjusted values from SEER data (see survival_calculations.xlsx)</t>
  </si>
  <si>
    <t xml:space="preserve">hr_cancer_irc</t>
  </si>
  <si>
    <t xml:space="preserve">Assuming IRC does not prevent cancer</t>
  </si>
  <si>
    <t xml:space="preserve">hr_cancer_tca</t>
  </si>
  <si>
    <t xml:space="preserve">Assuming TCA does not prevent cancer</t>
  </si>
  <si>
    <t xml:space="preserve">p_no_hsil___hsil_irc</t>
  </si>
  <si>
    <t xml:space="preserve">Goldstone CID 2019</t>
  </si>
  <si>
    <t xml:space="preserve">p_no_hsil___hsil_tca</t>
  </si>
  <si>
    <t xml:space="preserve">Goldstone CID 2019 (?)</t>
  </si>
  <si>
    <t xml:space="preserve">hr_hsil_irc</t>
  </si>
  <si>
    <t xml:space="preserve">Assuming previous IRC does not prevent future HSILs</t>
  </si>
  <si>
    <t xml:space="preserve">u_hiv_p</t>
  </si>
  <si>
    <t xml:space="preserve">Deshmuk 2015</t>
  </si>
  <si>
    <t xml:space="preserve">u_hiv_p___irc</t>
  </si>
  <si>
    <t xml:space="preserve">Assuming IRC does not affect utility</t>
  </si>
  <si>
    <t xml:space="preserve">u_hiv_p___tca</t>
  </si>
  <si>
    <t xml:space="preserve">Assuming TCA does not affect utility</t>
  </si>
  <si>
    <t xml:space="preserve">u_hsil</t>
  </si>
  <si>
    <t xml:space="preserve">u_hsil___irc</t>
  </si>
  <si>
    <t xml:space="preserve">u_hsil___tca</t>
  </si>
  <si>
    <t xml:space="preserve">u_cancer</t>
  </si>
  <si>
    <t xml:space="preserve">u_sem_followup1</t>
  </si>
  <si>
    <t xml:space="preserve">Assuming HSIL</t>
  </si>
  <si>
    <t xml:space="preserve">u_sem_followup2</t>
  </si>
  <si>
    <t xml:space="preserve">u_surgery_no_cancer</t>
  </si>
  <si>
    <t xml:space="preserve">u_survive</t>
  </si>
  <si>
    <t xml:space="preserve">Võrno 2017</t>
  </si>
  <si>
    <t xml:space="preserve">periodicity_times_in_year</t>
  </si>
  <si>
    <t xml:space="preserve">Number of iterations per year in simulation</t>
  </si>
  <si>
    <t xml:space="preserve">periodicity_months</t>
  </si>
  <si>
    <t xml:space="preserve">Number of months after each simulation (period)</t>
  </si>
  <si>
    <t xml:space="preserve">Deshmuk 2015 [HGAIN regression] (see deshmuk_calculations.xlsx)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</si>
</sst>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C55A11"/>
        <bgColor rgb="FF993300"/>
      </patternFill>
    </fill>
    <fill>
      <patternFill patternType="solid">
        <fgColor rgb="FF00B0F0"/>
        <bgColor rgb="FF33CCCC"/>
      </patternFill>
    </fill>
    <fill>
      <patternFill patternType="solid">
        <fgColor rgb="FFA9D18E"/>
        <bgColor rgb="FF99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88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selection pane="topLeft" activeCell="A11" activeCellId="0" sqref="A11"/>
    </sheetView>
  </sheetViews>
  <sheetFormatPr defaultColWidth="10.88671875" defaultRowHeight="12.75" zeroHeight="false" outlineLevelRow="0" outlineLevelCol="0"/>
  <cols>
    <col collapsed="false" customWidth="true" hidden="false" outlineLevel="0" max="1" min="1" style="0" width="46.14"/>
    <col collapsed="false" customWidth="true" hidden="false" outlineLevel="0" max="2" min="2" style="0" width="10.13"/>
    <col collapsed="false" customWidth="true" hidden="false" outlineLevel="0" max="3" min="3" style="0" width="7.41"/>
    <col collapsed="false" customWidth="true" hidden="false" outlineLevel="0" max="4" min="4" style="0" width="6.71"/>
    <col collapsed="false" customWidth="true" hidden="false" outlineLevel="0" max="5" min="5" style="0" width="85.1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75" hidden="false" customHeight="false" outlineLevel="0" collapsed="false">
      <c r="A2" s="0" t="s">
        <v>5</v>
      </c>
      <c r="B2" s="0" t="n">
        <v>10.71</v>
      </c>
      <c r="C2" s="0" t="n">
        <v>-1</v>
      </c>
      <c r="D2" s="0" t="n">
        <v>-1</v>
      </c>
      <c r="E2" s="0" t="s">
        <v>6</v>
      </c>
    </row>
    <row r="3" customFormat="false" ht="12.75" hidden="false" customHeight="false" outlineLevel="0" collapsed="false">
      <c r="A3" s="0" t="s">
        <v>7</v>
      </c>
      <c r="B3" s="2" t="n">
        <f aca="false">B6+0.67</f>
        <v>25.67</v>
      </c>
      <c r="C3" s="0" t="n">
        <v>-1</v>
      </c>
      <c r="D3" s="0" t="n">
        <v>-1</v>
      </c>
      <c r="E3" s="0" t="s">
        <v>8</v>
      </c>
    </row>
    <row r="4" customFormat="false" ht="12.75" hidden="false" customHeight="false" outlineLevel="0" collapsed="false">
      <c r="A4" s="0" t="s">
        <v>9</v>
      </c>
      <c r="B4" s="2" t="n">
        <f aca="false">B6+0.67</f>
        <v>25.67</v>
      </c>
      <c r="C4" s="0" t="n">
        <v>-1</v>
      </c>
      <c r="D4" s="0" t="n">
        <v>-1</v>
      </c>
      <c r="E4" s="0" t="s">
        <v>8</v>
      </c>
    </row>
    <row r="5" customFormat="false" ht="12.75" hidden="false" customHeight="false" outlineLevel="0" collapsed="false">
      <c r="A5" s="0" t="s">
        <v>10</v>
      </c>
      <c r="B5" s="2" t="n">
        <f aca="false">B6+0.67</f>
        <v>25.67</v>
      </c>
      <c r="C5" s="0" t="n">
        <v>-1</v>
      </c>
      <c r="D5" s="0" t="n">
        <v>-1</v>
      </c>
      <c r="E5" s="0" t="s">
        <v>8</v>
      </c>
    </row>
    <row r="6" customFormat="false" ht="12.75" hidden="false" customHeight="false" outlineLevel="0" collapsed="false">
      <c r="A6" s="0" t="s">
        <v>11</v>
      </c>
      <c r="B6" s="2" t="n">
        <v>25</v>
      </c>
      <c r="C6" s="0" t="n">
        <v>-1</v>
      </c>
      <c r="D6" s="0" t="n">
        <v>-1</v>
      </c>
      <c r="E6" s="0" t="s">
        <v>12</v>
      </c>
    </row>
    <row r="7" customFormat="false" ht="12.75" hidden="false" customHeight="false" outlineLevel="0" collapsed="false">
      <c r="A7" s="0" t="s">
        <v>13</v>
      </c>
      <c r="B7" s="2" t="n">
        <f aca="false">B10</f>
        <v>71.25</v>
      </c>
      <c r="C7" s="0" t="n">
        <v>-1</v>
      </c>
      <c r="D7" s="0" t="n">
        <v>-1</v>
      </c>
    </row>
    <row r="8" customFormat="false" ht="12.75" hidden="false" customHeight="false" outlineLevel="0" collapsed="false">
      <c r="A8" s="0" t="s">
        <v>14</v>
      </c>
      <c r="B8" s="2" t="n">
        <f aca="false">B10</f>
        <v>71.25</v>
      </c>
      <c r="C8" s="0" t="n">
        <v>-1</v>
      </c>
      <c r="D8" s="0" t="n">
        <v>-1</v>
      </c>
    </row>
    <row r="9" customFormat="false" ht="12.75" hidden="false" customHeight="false" outlineLevel="0" collapsed="false">
      <c r="A9" s="0" t="s">
        <v>15</v>
      </c>
      <c r="B9" s="2" t="n">
        <f aca="false">B10</f>
        <v>71.25</v>
      </c>
      <c r="C9" s="0" t="n">
        <v>-1</v>
      </c>
      <c r="D9" s="0" t="n">
        <v>-1</v>
      </c>
    </row>
    <row r="10" customFormat="false" ht="12.75" hidden="false" customHeight="false" outlineLevel="0" collapsed="false">
      <c r="A10" s="0" t="s">
        <v>16</v>
      </c>
      <c r="B10" s="2" t="n">
        <v>71.25</v>
      </c>
      <c r="C10" s="0" t="n">
        <v>-1</v>
      </c>
      <c r="D10" s="0" t="n">
        <v>-1</v>
      </c>
    </row>
    <row r="11" customFormat="false" ht="12.75" hidden="false" customHeight="false" outlineLevel="0" collapsed="false">
      <c r="A11" s="0" t="s">
        <v>17</v>
      </c>
      <c r="B11" s="2" t="n">
        <v>20.02</v>
      </c>
      <c r="C11" s="0" t="n">
        <v>-1</v>
      </c>
      <c r="D11" s="0" t="n">
        <v>-1</v>
      </c>
    </row>
    <row r="12" customFormat="false" ht="12.75" hidden="false" customHeight="false" outlineLevel="0" collapsed="false">
      <c r="A12" s="0" t="s">
        <v>18</v>
      </c>
      <c r="B12" s="3" t="n">
        <v>0</v>
      </c>
      <c r="C12" s="0" t="n">
        <v>-1</v>
      </c>
      <c r="D12" s="0" t="n">
        <v>-1</v>
      </c>
    </row>
    <row r="13" customFormat="false" ht="12.75" hidden="false" customHeight="false" outlineLevel="0" collapsed="false">
      <c r="A13" s="0" t="s">
        <v>19</v>
      </c>
      <c r="B13" s="0" t="n">
        <f aca="false">B12+B19</f>
        <v>31.6</v>
      </c>
      <c r="C13" s="0" t="n">
        <v>-1</v>
      </c>
      <c r="D13" s="0" t="n">
        <v>-1</v>
      </c>
      <c r="E13" s="0" t="s">
        <v>20</v>
      </c>
    </row>
    <row r="14" customFormat="false" ht="12.75" hidden="false" customHeight="false" outlineLevel="0" collapsed="false">
      <c r="A14" s="0" t="s">
        <v>21</v>
      </c>
      <c r="B14" s="0" t="n">
        <f aca="false">B12+B18</f>
        <v>103.70528</v>
      </c>
      <c r="C14" s="0" t="n">
        <v>-1</v>
      </c>
      <c r="D14" s="0" t="n">
        <v>-1</v>
      </c>
    </row>
    <row r="15" customFormat="false" ht="12.75" hidden="false" customHeight="false" outlineLevel="0" collapsed="false">
      <c r="A15" s="0" t="s">
        <v>22</v>
      </c>
      <c r="B15" s="4" t="n">
        <v>82.05</v>
      </c>
      <c r="C15" s="0" t="n">
        <v>-1</v>
      </c>
      <c r="D15" s="0" t="n">
        <v>-1</v>
      </c>
      <c r="E15" s="0" t="s">
        <v>23</v>
      </c>
    </row>
    <row r="16" customFormat="false" ht="12.75" hidden="false" customHeight="false" outlineLevel="0" collapsed="false">
      <c r="A16" s="0" t="s">
        <v>24</v>
      </c>
      <c r="B16" s="4" t="n">
        <v>30.56</v>
      </c>
      <c r="C16" s="0" t="n">
        <v>-1</v>
      </c>
      <c r="D16" s="0" t="n">
        <v>-1</v>
      </c>
      <c r="E16" s="0" t="s">
        <v>23</v>
      </c>
    </row>
    <row r="17" customFormat="false" ht="12.75" hidden="false" customHeight="false" outlineLevel="0" collapsed="false">
      <c r="A17" s="0" t="s">
        <v>25</v>
      </c>
      <c r="B17" s="4" t="n">
        <v>75.04</v>
      </c>
      <c r="C17" s="0" t="n">
        <v>-1</v>
      </c>
      <c r="D17" s="0" t="n">
        <v>-1</v>
      </c>
      <c r="E17" s="0" t="s">
        <v>6</v>
      </c>
    </row>
    <row r="18" customFormat="false" ht="12.75" hidden="false" customHeight="false" outlineLevel="0" collapsed="false">
      <c r="A18" s="0" t="s">
        <v>26</v>
      </c>
      <c r="B18" s="0" t="n">
        <f aca="false">B17*B21</f>
        <v>103.70528</v>
      </c>
      <c r="C18" s="0" t="n">
        <v>-1</v>
      </c>
      <c r="D18" s="0" t="n">
        <v>-1</v>
      </c>
    </row>
    <row r="19" customFormat="false" ht="12.75" hidden="false" customHeight="false" outlineLevel="0" collapsed="false">
      <c r="A19" s="0" t="s">
        <v>27</v>
      </c>
      <c r="B19" s="5" t="n">
        <v>31.6</v>
      </c>
      <c r="C19" s="0" t="n">
        <v>-1</v>
      </c>
      <c r="D19" s="0" t="n">
        <v>-1</v>
      </c>
      <c r="E19" s="0" t="s">
        <v>6</v>
      </c>
    </row>
    <row r="20" customFormat="false" ht="12.75" hidden="false" customHeight="false" outlineLevel="0" collapsed="false">
      <c r="A20" s="0" t="s">
        <v>28</v>
      </c>
      <c r="B20" s="0" t="n">
        <v>3189</v>
      </c>
      <c r="C20" s="0" t="n">
        <v>-1</v>
      </c>
      <c r="D20" s="0" t="n">
        <v>-1</v>
      </c>
      <c r="E20" s="0" t="s">
        <v>29</v>
      </c>
    </row>
    <row r="21" customFormat="false" ht="12.75" hidden="false" customHeight="false" outlineLevel="0" collapsed="false">
      <c r="A21" s="0" t="s">
        <v>30</v>
      </c>
      <c r="B21" s="4" t="n">
        <v>1.382</v>
      </c>
      <c r="C21" s="0" t="n">
        <v>-1</v>
      </c>
      <c r="D21" s="0" t="n">
        <v>-1</v>
      </c>
      <c r="E21" s="0" t="s">
        <v>31</v>
      </c>
    </row>
    <row r="22" customFormat="false" ht="12.75" hidden="false" customHeight="false" outlineLevel="0" collapsed="false">
      <c r="A22" s="0" t="s">
        <v>32</v>
      </c>
      <c r="B22" s="4" t="n">
        <v>1</v>
      </c>
      <c r="C22" s="0" t="n">
        <v>-1</v>
      </c>
      <c r="D22" s="0" t="n">
        <v>-1</v>
      </c>
      <c r="E22" s="0" t="s">
        <v>33</v>
      </c>
    </row>
    <row r="23" customFormat="false" ht="12.75" hidden="false" customHeight="false" outlineLevel="0" collapsed="false">
      <c r="A23" s="0" t="s">
        <v>34</v>
      </c>
      <c r="B23" s="0" t="n">
        <f aca="false">1-(1-B24)^(1/$B$87)</f>
        <v>0.00180162292257757</v>
      </c>
      <c r="C23" s="0" t="n">
        <v>-1</v>
      </c>
      <c r="D23" s="0" t="n">
        <v>-1</v>
      </c>
    </row>
    <row r="24" customFormat="false" ht="12.75" hidden="false" customHeight="false" outlineLevel="0" collapsed="false">
      <c r="A24" s="0" t="s">
        <v>35</v>
      </c>
      <c r="B24" s="0" t="n">
        <v>0.0036</v>
      </c>
      <c r="C24" s="0" t="n">
        <v>-1</v>
      </c>
      <c r="D24" s="0" t="n">
        <v>-1</v>
      </c>
      <c r="E24" s="0" t="s">
        <v>36</v>
      </c>
    </row>
    <row r="25" customFormat="false" ht="12.75" hidden="false" customHeight="false" outlineLevel="0" collapsed="false">
      <c r="A25" s="0" t="s">
        <v>37</v>
      </c>
      <c r="B25" s="0" t="n">
        <v>0.4013</v>
      </c>
      <c r="C25" s="0" t="n">
        <v>-1</v>
      </c>
      <c r="D25" s="0" t="n">
        <v>-1</v>
      </c>
      <c r="E25" s="0" t="s">
        <v>38</v>
      </c>
    </row>
    <row r="26" customFormat="false" ht="12.75" hidden="false" customHeight="false" outlineLevel="0" collapsed="false">
      <c r="A26" s="0" t="s">
        <v>39</v>
      </c>
      <c r="B26" s="0" t="n">
        <v>0.2792</v>
      </c>
      <c r="C26" s="0" t="n">
        <v>-1</v>
      </c>
      <c r="D26" s="0" t="n">
        <v>-1</v>
      </c>
      <c r="E26" s="0" t="s">
        <v>40</v>
      </c>
    </row>
    <row r="27" customFormat="false" ht="12.75" hidden="false" customHeight="false" outlineLevel="0" collapsed="false">
      <c r="A27" s="0" t="s">
        <v>41</v>
      </c>
      <c r="B27" s="0" t="n">
        <v>0.2739</v>
      </c>
      <c r="C27" s="0" t="n">
        <v>-1</v>
      </c>
      <c r="D27" s="0" t="n">
        <v>-1</v>
      </c>
      <c r="E27" s="0" t="s">
        <v>42</v>
      </c>
    </row>
    <row r="28" customFormat="false" ht="12.75" hidden="false" customHeight="false" outlineLevel="0" collapsed="false">
      <c r="A28" s="5" t="s">
        <v>43</v>
      </c>
      <c r="B28" s="0" t="n">
        <v>0.6447</v>
      </c>
      <c r="C28" s="0" t="n">
        <v>-1</v>
      </c>
      <c r="D28" s="0" t="n">
        <v>-1</v>
      </c>
      <c r="E28" s="0" t="s">
        <v>44</v>
      </c>
    </row>
    <row r="29" customFormat="false" ht="12.75" hidden="false" customHeight="false" outlineLevel="0" collapsed="false">
      <c r="A29" s="0" t="s">
        <v>45</v>
      </c>
      <c r="B29" s="0" t="n">
        <v>0.3057</v>
      </c>
      <c r="C29" s="0" t="n">
        <v>-1</v>
      </c>
      <c r="D29" s="0" t="n">
        <v>-1</v>
      </c>
      <c r="E29" s="0" t="s">
        <v>46</v>
      </c>
    </row>
    <row r="30" customFormat="false" ht="12.75" hidden="false" customHeight="false" outlineLevel="0" collapsed="false">
      <c r="A30" s="0" t="s">
        <v>47</v>
      </c>
      <c r="B30" s="0" t="n">
        <v>0.0254</v>
      </c>
      <c r="C30" s="0" t="n">
        <v>-1</v>
      </c>
      <c r="D30" s="0" t="n">
        <v>-1</v>
      </c>
      <c r="E30" s="0" t="s">
        <v>48</v>
      </c>
    </row>
    <row r="31" customFormat="false" ht="12.75" hidden="false" customHeight="false" outlineLevel="0" collapsed="false">
      <c r="A31" s="0" t="s">
        <v>49</v>
      </c>
      <c r="B31" s="0" t="n">
        <f aca="false">1-(1-EXP(-B70*5))^(1/$B$87)</f>
        <v>0.0118288335799355</v>
      </c>
      <c r="C31" s="0" t="n">
        <v>-1</v>
      </c>
      <c r="D31" s="0" t="n">
        <v>-1</v>
      </c>
    </row>
    <row r="32" customFormat="false" ht="12.75" hidden="false" customHeight="false" outlineLevel="0" collapsed="false">
      <c r="A32" s="5" t="s">
        <v>50</v>
      </c>
      <c r="B32" s="0" t="n">
        <f aca="false">1-(1-B33)^(1/$B$87)</f>
        <v>0.000853364115156463</v>
      </c>
      <c r="C32" s="0" t="n">
        <v>-1</v>
      </c>
      <c r="D32" s="0" t="n">
        <v>-1</v>
      </c>
    </row>
    <row r="33" customFormat="false" ht="12.75" hidden="false" customHeight="false" outlineLevel="0" collapsed="false">
      <c r="A33" s="0" t="s">
        <v>51</v>
      </c>
      <c r="B33" s="3" t="n">
        <v>0.001706</v>
      </c>
      <c r="C33" s="0" t="n">
        <v>-1</v>
      </c>
      <c r="D33" s="0" t="n">
        <v>-1</v>
      </c>
      <c r="E33" s="0" t="s">
        <v>52</v>
      </c>
    </row>
    <row r="34" customFormat="false" ht="12.75" hidden="false" customHeight="false" outlineLevel="0" collapsed="false">
      <c r="A34" s="0" t="s">
        <v>53</v>
      </c>
      <c r="B34" s="0" t="n">
        <v>0.386</v>
      </c>
      <c r="C34" s="0" t="n">
        <v>-1</v>
      </c>
      <c r="D34" s="0" t="n">
        <v>-1</v>
      </c>
      <c r="E34" s="0" t="s">
        <v>54</v>
      </c>
    </row>
    <row r="35" customFormat="false" ht="12.75" hidden="false" customHeight="false" outlineLevel="0" collapsed="false">
      <c r="A35" s="0" t="s">
        <v>55</v>
      </c>
      <c r="B35" s="0" t="n">
        <v>0.106</v>
      </c>
      <c r="C35" s="0" t="n">
        <v>-1</v>
      </c>
      <c r="D35" s="0" t="n">
        <v>-1</v>
      </c>
      <c r="E35" s="0" t="s">
        <v>54</v>
      </c>
    </row>
    <row r="36" customFormat="false" ht="12.75" hidden="false" customHeight="false" outlineLevel="0" collapsed="false">
      <c r="A36" s="0" t="s">
        <v>56</v>
      </c>
      <c r="B36" s="0" t="n">
        <v>0.429</v>
      </c>
      <c r="C36" s="0" t="n">
        <v>-1</v>
      </c>
      <c r="D36" s="0" t="n">
        <v>-1</v>
      </c>
      <c r="E36" s="0" t="s">
        <v>57</v>
      </c>
    </row>
    <row r="37" customFormat="false" ht="12.75" hidden="false" customHeight="false" outlineLevel="0" collapsed="false">
      <c r="A37" s="0" t="s">
        <v>58</v>
      </c>
      <c r="B37" s="0" t="n">
        <v>0.137</v>
      </c>
      <c r="C37" s="0" t="n">
        <v>-1</v>
      </c>
      <c r="D37" s="0" t="n">
        <v>-1</v>
      </c>
      <c r="E37" s="0" t="s">
        <v>57</v>
      </c>
    </row>
    <row r="38" customFormat="false" ht="12.75" hidden="false" customHeight="false" outlineLevel="0" collapsed="false">
      <c r="A38" s="0" t="s">
        <v>59</v>
      </c>
      <c r="B38" s="0" t="n">
        <v>0.798</v>
      </c>
      <c r="C38" s="0" t="n">
        <v>-1</v>
      </c>
      <c r="D38" s="0" t="n">
        <v>-1</v>
      </c>
      <c r="E38" s="0" t="s">
        <v>57</v>
      </c>
    </row>
    <row r="39" customFormat="false" ht="12.75" hidden="false" customHeight="false" outlineLevel="0" collapsed="false">
      <c r="A39" s="0" t="s">
        <v>60</v>
      </c>
      <c r="B39" s="0" t="n">
        <v>0.404</v>
      </c>
      <c r="C39" s="0" t="n">
        <v>-1</v>
      </c>
      <c r="D39" s="0" t="n">
        <v>-1</v>
      </c>
      <c r="E39" s="0" t="s">
        <v>57</v>
      </c>
    </row>
    <row r="40" customFormat="false" ht="12.75" hidden="false" customHeight="false" outlineLevel="0" collapsed="false">
      <c r="A40" s="0" t="s">
        <v>61</v>
      </c>
      <c r="B40" s="0" t="n">
        <v>0.471</v>
      </c>
      <c r="C40" s="0" t="n">
        <v>-1</v>
      </c>
      <c r="D40" s="0" t="n">
        <v>-1</v>
      </c>
      <c r="E40" s="0" t="s">
        <v>54</v>
      </c>
    </row>
    <row r="41" customFormat="false" ht="12.75" hidden="false" customHeight="false" outlineLevel="0" collapsed="false">
      <c r="A41" s="0" t="s">
        <v>62</v>
      </c>
      <c r="B41" s="0" t="n">
        <v>0.173</v>
      </c>
      <c r="C41" s="0" t="n">
        <v>-1</v>
      </c>
      <c r="D41" s="0" t="n">
        <v>-1</v>
      </c>
      <c r="E41" s="0" t="s">
        <v>54</v>
      </c>
    </row>
    <row r="42" customFormat="false" ht="12.75" hidden="false" customHeight="false" outlineLevel="0" collapsed="false">
      <c r="A42" s="0" t="s">
        <v>63</v>
      </c>
      <c r="B42" s="0" t="n">
        <v>0.549</v>
      </c>
      <c r="C42" s="0" t="n">
        <v>-1</v>
      </c>
      <c r="D42" s="0" t="n">
        <v>-1</v>
      </c>
      <c r="E42" s="0" t="s">
        <v>57</v>
      </c>
    </row>
    <row r="43" customFormat="false" ht="12.75" hidden="false" customHeight="false" outlineLevel="0" collapsed="false">
      <c r="A43" s="0" t="s">
        <v>64</v>
      </c>
      <c r="B43" s="0" t="n">
        <v>0.294</v>
      </c>
      <c r="C43" s="0" t="n">
        <v>-1</v>
      </c>
      <c r="D43" s="0" t="n">
        <v>-1</v>
      </c>
      <c r="E43" s="0" t="s">
        <v>57</v>
      </c>
    </row>
    <row r="44" customFormat="false" ht="12.75" hidden="false" customHeight="false" outlineLevel="0" collapsed="false">
      <c r="A44" s="0" t="s">
        <v>65</v>
      </c>
      <c r="B44" s="0" t="n">
        <v>0.94</v>
      </c>
      <c r="C44" s="0" t="n">
        <v>-1</v>
      </c>
      <c r="D44" s="0" t="n">
        <v>-1</v>
      </c>
      <c r="E44" s="0" t="s">
        <v>66</v>
      </c>
    </row>
    <row r="45" customFormat="false" ht="12.75" hidden="false" customHeight="false" outlineLevel="0" collapsed="false">
      <c r="A45" s="0" t="s">
        <v>67</v>
      </c>
      <c r="B45" s="0" t="n">
        <v>0.657</v>
      </c>
      <c r="C45" s="0" t="n">
        <v>-1</v>
      </c>
      <c r="D45" s="0" t="n">
        <v>-1</v>
      </c>
      <c r="E45" s="0" t="s">
        <v>54</v>
      </c>
    </row>
    <row r="46" customFormat="false" ht="12.75" hidden="false" customHeight="false" outlineLevel="0" collapsed="false">
      <c r="A46" s="0" t="s">
        <v>68</v>
      </c>
      <c r="B46" s="0" t="n">
        <v>0.757</v>
      </c>
      <c r="C46" s="0" t="n">
        <v>-1</v>
      </c>
      <c r="D46" s="0" t="n">
        <v>-1</v>
      </c>
      <c r="E46" s="0" t="s">
        <v>54</v>
      </c>
    </row>
    <row r="47" customFormat="false" ht="12.75" hidden="false" customHeight="false" outlineLevel="0" collapsed="false">
      <c r="A47" s="0" t="s">
        <v>69</v>
      </c>
      <c r="B47" s="0" t="n">
        <v>0.345</v>
      </c>
      <c r="C47" s="0" t="n">
        <v>-1</v>
      </c>
      <c r="D47" s="0" t="n">
        <v>-1</v>
      </c>
      <c r="E47" s="0" t="s">
        <v>54</v>
      </c>
    </row>
    <row r="48" customFormat="false" ht="12.75" hidden="false" customHeight="false" outlineLevel="0" collapsed="false">
      <c r="A48" s="0" t="s">
        <v>70</v>
      </c>
      <c r="B48" s="0" t="n">
        <v>0.8535</v>
      </c>
      <c r="C48" s="0" t="n">
        <v>-1</v>
      </c>
      <c r="D48" s="0" t="n">
        <v>-1</v>
      </c>
      <c r="E48" s="0" t="s">
        <v>71</v>
      </c>
    </row>
    <row r="49" customFormat="false" ht="12.75" hidden="false" customHeight="false" outlineLevel="0" collapsed="false">
      <c r="A49" s="0" t="s">
        <v>72</v>
      </c>
      <c r="B49" s="0" t="n">
        <v>0</v>
      </c>
      <c r="C49" s="0" t="n">
        <v>-1</v>
      </c>
      <c r="D49" s="0" t="n">
        <v>-1</v>
      </c>
      <c r="E49" s="0" t="s">
        <v>73</v>
      </c>
    </row>
    <row r="50" customFormat="false" ht="12.75" hidden="false" customHeight="false" outlineLevel="0" collapsed="false">
      <c r="A50" s="0" t="s">
        <v>74</v>
      </c>
      <c r="B50" s="0" t="n">
        <f aca="false">B48</f>
        <v>0.8535</v>
      </c>
      <c r="C50" s="0" t="n">
        <v>-1</v>
      </c>
      <c r="D50" s="0" t="n">
        <v>-1</v>
      </c>
      <c r="E50" s="0" t="s">
        <v>71</v>
      </c>
    </row>
    <row r="51" customFormat="false" ht="12.75" hidden="false" customHeight="false" outlineLevel="0" collapsed="false">
      <c r="A51" s="0" t="s">
        <v>75</v>
      </c>
      <c r="B51" s="0" t="n">
        <f aca="false">B49</f>
        <v>0</v>
      </c>
      <c r="C51" s="0" t="n">
        <v>-1</v>
      </c>
      <c r="D51" s="0" t="n">
        <v>-1</v>
      </c>
      <c r="E51" s="0" t="s">
        <v>76</v>
      </c>
    </row>
    <row r="52" customFormat="false" ht="12.75" hidden="false" customHeight="false" outlineLevel="0" collapsed="false">
      <c r="A52" s="0" t="s">
        <v>77</v>
      </c>
      <c r="B52" s="0" t="n">
        <f aca="false">1/131/7.5</f>
        <v>0.00101781170483461</v>
      </c>
      <c r="C52" s="0" t="n">
        <v>-1</v>
      </c>
      <c r="D52" s="0" t="n">
        <v>-1</v>
      </c>
      <c r="E52" s="0" t="s">
        <v>78</v>
      </c>
    </row>
    <row r="53" customFormat="false" ht="12.75" hidden="false" customHeight="false" outlineLevel="0" collapsed="false">
      <c r="A53" s="0" t="s">
        <v>79</v>
      </c>
      <c r="B53" s="0" t="n">
        <v>0</v>
      </c>
      <c r="C53" s="0" t="n">
        <v>-1</v>
      </c>
      <c r="D53" s="0" t="n">
        <v>-1</v>
      </c>
      <c r="E53" s="0" t="s">
        <v>76</v>
      </c>
    </row>
    <row r="54" customFormat="false" ht="12.75" hidden="false" customHeight="false" outlineLevel="0" collapsed="false">
      <c r="A54" s="0" t="s">
        <v>80</v>
      </c>
      <c r="B54" s="0" t="n">
        <f aca="false">B52</f>
        <v>0.00101781170483461</v>
      </c>
      <c r="C54" s="0" t="n">
        <v>-1</v>
      </c>
      <c r="D54" s="0" t="n">
        <v>-1</v>
      </c>
      <c r="E54" s="0" t="s">
        <v>81</v>
      </c>
    </row>
    <row r="55" customFormat="false" ht="12.75" hidden="false" customHeight="false" outlineLevel="0" collapsed="false">
      <c r="A55" s="0" t="s">
        <v>82</v>
      </c>
      <c r="B55" s="0" t="n">
        <f aca="false">B53</f>
        <v>0</v>
      </c>
      <c r="C55" s="0" t="n">
        <v>-1</v>
      </c>
      <c r="D55" s="0" t="n">
        <v>-1</v>
      </c>
      <c r="E55" s="0" t="s">
        <v>76</v>
      </c>
    </row>
    <row r="56" customFormat="false" ht="12.75" hidden="false" customHeight="false" outlineLevel="0" collapsed="false">
      <c r="A56" s="0" t="s">
        <v>83</v>
      </c>
      <c r="B56" s="0" t="n">
        <f aca="false">1-(1-B60)^(1/$B$87)</f>
        <v>0.247670285047839</v>
      </c>
      <c r="C56" s="0" t="n">
        <v>-1</v>
      </c>
      <c r="D56" s="0" t="n">
        <v>-1</v>
      </c>
    </row>
    <row r="57" customFormat="false" ht="12.75" hidden="false" customHeight="false" outlineLevel="0" collapsed="false">
      <c r="A57" s="0" t="s">
        <v>84</v>
      </c>
      <c r="B57" s="0" t="n">
        <f aca="false">B56</f>
        <v>0.247670285047839</v>
      </c>
      <c r="C57" s="0" t="n">
        <v>-1</v>
      </c>
      <c r="D57" s="0" t="n">
        <v>-1</v>
      </c>
    </row>
    <row r="58" customFormat="false" ht="12.75" hidden="false" customHeight="false" outlineLevel="0" collapsed="false">
      <c r="A58" s="0" t="s">
        <v>85</v>
      </c>
      <c r="B58" s="0" t="n">
        <f aca="false">B73*(1-B32)</f>
        <v>0.619470914248603</v>
      </c>
      <c r="C58" s="0" t="n">
        <v>-1</v>
      </c>
      <c r="D58" s="0" t="n">
        <v>-1</v>
      </c>
    </row>
    <row r="59" customFormat="false" ht="12.75" hidden="false" customHeight="false" outlineLevel="0" collapsed="false">
      <c r="A59" s="0" t="s">
        <v>86</v>
      </c>
      <c r="B59" s="0" t="n">
        <f aca="false">B74*(1-B32)</f>
        <v>0.617472620976833</v>
      </c>
      <c r="C59" s="0" t="n">
        <v>-1</v>
      </c>
      <c r="D59" s="0" t="n">
        <v>-1</v>
      </c>
    </row>
    <row r="60" customFormat="false" ht="12.75" hidden="false" customHeight="false" outlineLevel="0" collapsed="false">
      <c r="A60" s="0" t="s">
        <v>87</v>
      </c>
      <c r="B60" s="0" t="n">
        <v>0.434</v>
      </c>
      <c r="C60" s="0" t="n">
        <v>-1</v>
      </c>
      <c r="D60" s="0" t="n">
        <v>-1</v>
      </c>
      <c r="E60" s="0" t="s">
        <v>88</v>
      </c>
    </row>
    <row r="61" customFormat="false" ht="12.75" hidden="false" customHeight="false" outlineLevel="0" collapsed="false">
      <c r="A61" s="0" t="s">
        <v>89</v>
      </c>
      <c r="B61" s="0" t="n">
        <f aca="false">1-(1-B64)^(1/$B$87)</f>
        <v>0.0527935811028306</v>
      </c>
      <c r="C61" s="0" t="n">
        <v>-1</v>
      </c>
      <c r="D61" s="0" t="n">
        <v>-1</v>
      </c>
    </row>
    <row r="62" customFormat="false" ht="12.75" hidden="false" customHeight="false" outlineLevel="0" collapsed="false">
      <c r="A62" s="0" t="s">
        <v>90</v>
      </c>
      <c r="B62" s="0" t="n">
        <f aca="false">1-EXP(-(-LOG(B66,EXP(1))/17.5)*1/$B$87)</f>
        <v>0.0295495344822225</v>
      </c>
      <c r="C62" s="0" t="n">
        <v>-1</v>
      </c>
      <c r="D62" s="0" t="n">
        <v>-1</v>
      </c>
      <c r="E62" s="0" t="s">
        <v>91</v>
      </c>
    </row>
    <row r="63" customFormat="false" ht="12.75" hidden="false" customHeight="false" outlineLevel="0" collapsed="false">
      <c r="A63" s="0" t="s">
        <v>92</v>
      </c>
      <c r="B63" s="0" t="n">
        <f aca="false">B61</f>
        <v>0.0527935811028306</v>
      </c>
      <c r="C63" s="0" t="n">
        <v>-1</v>
      </c>
      <c r="D63" s="0" t="n">
        <v>-1</v>
      </c>
    </row>
    <row r="64" customFormat="false" ht="12.75" hidden="false" customHeight="false" outlineLevel="0" collapsed="false">
      <c r="A64" s="0" t="s">
        <v>93</v>
      </c>
      <c r="B64" s="0" t="n">
        <v>0.1028</v>
      </c>
      <c r="C64" s="0" t="n">
        <v>-1</v>
      </c>
      <c r="D64" s="0" t="n">
        <v>-1</v>
      </c>
      <c r="E64" s="0" t="s">
        <v>94</v>
      </c>
    </row>
    <row r="65" customFormat="false" ht="12.75" hidden="false" customHeight="false" outlineLevel="0" collapsed="false">
      <c r="A65" s="0" t="s">
        <v>95</v>
      </c>
      <c r="B65" s="0" t="n">
        <f aca="false">B62</f>
        <v>0.0295495344822225</v>
      </c>
      <c r="C65" s="0" t="n">
        <v>-1</v>
      </c>
      <c r="D65" s="0" t="n">
        <v>-1</v>
      </c>
    </row>
    <row r="66" customFormat="false" ht="12.75" hidden="false" customHeight="false" outlineLevel="0" collapsed="false">
      <c r="A66" s="0" t="s">
        <v>96</v>
      </c>
      <c r="B66" s="0" t="n">
        <v>0.35</v>
      </c>
      <c r="C66" s="0" t="n">
        <v>-1</v>
      </c>
      <c r="D66" s="0" t="n">
        <v>-1</v>
      </c>
      <c r="E66" s="0" t="s">
        <v>97</v>
      </c>
    </row>
    <row r="67" customFormat="false" ht="12.75" hidden="false" customHeight="false" outlineLevel="0" collapsed="false">
      <c r="A67" s="0" t="s">
        <v>98</v>
      </c>
      <c r="B67" s="0" t="n">
        <f aca="false">1-(1-B68)^(1/$B$87)</f>
        <v>0</v>
      </c>
      <c r="C67" s="0" t="n">
        <v>-1</v>
      </c>
      <c r="D67" s="0" t="n">
        <v>-1</v>
      </c>
    </row>
    <row r="68" customFormat="false" ht="12.75" hidden="false" customHeight="false" outlineLevel="0" collapsed="false">
      <c r="A68" s="0" t="s">
        <v>99</v>
      </c>
      <c r="B68" s="3" t="n">
        <v>0</v>
      </c>
      <c r="C68" s="0" t="n">
        <v>-1</v>
      </c>
      <c r="D68" s="0" t="n">
        <v>-1</v>
      </c>
      <c r="E68" s="0" t="s">
        <v>100</v>
      </c>
    </row>
    <row r="69" customFormat="false" ht="12.75" hidden="false" customHeight="false" outlineLevel="0" collapsed="false">
      <c r="A69" s="0" t="s">
        <v>101</v>
      </c>
      <c r="B69" s="3" t="n">
        <v>0</v>
      </c>
      <c r="C69" s="0" t="n">
        <v>-1</v>
      </c>
      <c r="D69" s="0" t="n">
        <v>-1</v>
      </c>
      <c r="E69" s="0" t="s">
        <v>100</v>
      </c>
    </row>
    <row r="70" customFormat="false" ht="12.75" hidden="false" customHeight="false" outlineLevel="0" collapsed="false">
      <c r="A70" s="0" t="s">
        <v>102</v>
      </c>
      <c r="B70" s="0" t="n">
        <v>0.75</v>
      </c>
      <c r="C70" s="0" t="n">
        <v>-1</v>
      </c>
      <c r="D70" s="0" t="n">
        <v>-1</v>
      </c>
      <c r="E70" s="0" t="s">
        <v>103</v>
      </c>
    </row>
    <row r="71" customFormat="false" ht="12.75" hidden="false" customHeight="false" outlineLevel="0" collapsed="false">
      <c r="A71" s="2" t="s">
        <v>104</v>
      </c>
      <c r="B71" s="2" t="n">
        <v>1</v>
      </c>
      <c r="C71" s="0" t="n">
        <v>-1</v>
      </c>
      <c r="D71" s="0" t="n">
        <v>-1</v>
      </c>
      <c r="E71" s="0" t="s">
        <v>105</v>
      </c>
    </row>
    <row r="72" customFormat="false" ht="12.75" hidden="false" customHeight="false" outlineLevel="0" collapsed="false">
      <c r="A72" s="2" t="s">
        <v>106</v>
      </c>
      <c r="B72" s="2" t="n">
        <v>1</v>
      </c>
      <c r="C72" s="0" t="n">
        <v>-1</v>
      </c>
      <c r="D72" s="0" t="n">
        <v>-1</v>
      </c>
      <c r="E72" s="0" t="s">
        <v>107</v>
      </c>
    </row>
    <row r="73" customFormat="false" ht="12.75" hidden="false" customHeight="false" outlineLevel="0" collapsed="false">
      <c r="A73" s="4" t="s">
        <v>108</v>
      </c>
      <c r="B73" s="4" t="n">
        <v>0.62</v>
      </c>
      <c r="C73" s="0" t="n">
        <v>-1</v>
      </c>
      <c r="D73" s="0" t="n">
        <v>-1</v>
      </c>
      <c r="E73" s="0" t="s">
        <v>109</v>
      </c>
    </row>
    <row r="74" customFormat="false" ht="12.75" hidden="false" customHeight="false" outlineLevel="0" collapsed="false">
      <c r="A74" s="4" t="s">
        <v>110</v>
      </c>
      <c r="B74" s="4" t="n">
        <v>0.618</v>
      </c>
      <c r="C74" s="0" t="n">
        <v>-1</v>
      </c>
      <c r="D74" s="0" t="n">
        <v>-1</v>
      </c>
      <c r="E74" s="0" t="s">
        <v>111</v>
      </c>
    </row>
    <row r="75" customFormat="false" ht="12.75" hidden="false" customHeight="false" outlineLevel="0" collapsed="false">
      <c r="A75" s="6" t="s">
        <v>112</v>
      </c>
      <c r="B75" s="3" t="n">
        <v>1</v>
      </c>
      <c r="C75" s="0" t="n">
        <v>-1</v>
      </c>
      <c r="D75" s="0" t="n">
        <v>-1</v>
      </c>
      <c r="E75" s="0" t="s">
        <v>113</v>
      </c>
    </row>
    <row r="76" customFormat="false" ht="12.75" hidden="false" customHeight="false" outlineLevel="0" collapsed="false">
      <c r="A76" s="0" t="s">
        <v>114</v>
      </c>
      <c r="B76" s="0" t="n">
        <v>0.76</v>
      </c>
      <c r="C76" s="0" t="n">
        <v>0.66</v>
      </c>
      <c r="D76" s="0" t="n">
        <v>0.86</v>
      </c>
      <c r="E76" s="0" t="s">
        <v>115</v>
      </c>
    </row>
    <row r="77" customFormat="false" ht="12.75" hidden="false" customHeight="false" outlineLevel="0" collapsed="false">
      <c r="A77" s="0" t="s">
        <v>116</v>
      </c>
      <c r="B77" s="3" t="n">
        <f aca="false">B76</f>
        <v>0.76</v>
      </c>
      <c r="C77" s="0" t="n">
        <v>0.66</v>
      </c>
      <c r="D77" s="0" t="n">
        <v>0.86</v>
      </c>
      <c r="E77" s="0" t="s">
        <v>117</v>
      </c>
    </row>
    <row r="78" customFormat="false" ht="12.75" hidden="false" customHeight="false" outlineLevel="0" collapsed="false">
      <c r="A78" s="0" t="s">
        <v>118</v>
      </c>
      <c r="B78" s="3" t="n">
        <f aca="false">B77</f>
        <v>0.76</v>
      </c>
      <c r="C78" s="0" t="n">
        <v>0.66</v>
      </c>
      <c r="D78" s="0" t="n">
        <v>0.86</v>
      </c>
      <c r="E78" s="0" t="s">
        <v>119</v>
      </c>
    </row>
    <row r="79" customFormat="false" ht="12.75" hidden="false" customHeight="false" outlineLevel="0" collapsed="false">
      <c r="A79" s="0" t="s">
        <v>120</v>
      </c>
      <c r="B79" s="0" t="n">
        <f aca="false">0.98*B76</f>
        <v>0.7448</v>
      </c>
      <c r="C79" s="0" t="n">
        <v>-1</v>
      </c>
      <c r="D79" s="0" t="n">
        <v>-1</v>
      </c>
    </row>
    <row r="80" customFormat="false" ht="12.75" hidden="false" customHeight="false" outlineLevel="0" collapsed="false">
      <c r="A80" s="7" t="s">
        <v>121</v>
      </c>
      <c r="B80" s="7" t="n">
        <v>0.6</v>
      </c>
      <c r="C80" s="0" t="n">
        <v>-1</v>
      </c>
      <c r="D80" s="0" t="n">
        <v>-1</v>
      </c>
      <c r="E80" s="0" t="s">
        <v>117</v>
      </c>
    </row>
    <row r="81" customFormat="false" ht="12.75" hidden="false" customHeight="false" outlineLevel="0" collapsed="false">
      <c r="A81" s="0" t="s">
        <v>122</v>
      </c>
      <c r="B81" s="8" t="n">
        <f aca="false">0.98*B78</f>
        <v>0.7448</v>
      </c>
      <c r="C81" s="0" t="n">
        <v>-1</v>
      </c>
      <c r="D81" s="0" t="n">
        <v>-1</v>
      </c>
      <c r="E81" s="0" t="s">
        <v>119</v>
      </c>
    </row>
    <row r="82" customFormat="false" ht="12.75" hidden="false" customHeight="false" outlineLevel="0" collapsed="false">
      <c r="A82" s="0" t="s">
        <v>123</v>
      </c>
      <c r="B82" s="0" t="n">
        <v>0.58</v>
      </c>
      <c r="C82" s="0" t="n">
        <v>0.5</v>
      </c>
      <c r="D82" s="0" t="n">
        <v>0.7</v>
      </c>
      <c r="E82" s="0" t="s">
        <v>115</v>
      </c>
    </row>
    <row r="83" customFormat="false" ht="12.75" hidden="false" customHeight="false" outlineLevel="0" collapsed="false">
      <c r="A83" s="0" t="s">
        <v>124</v>
      </c>
      <c r="B83" s="0" t="n">
        <f aca="false">B79</f>
        <v>0.7448</v>
      </c>
      <c r="C83" s="0" t="n">
        <v>-1</v>
      </c>
      <c r="D83" s="0" t="n">
        <v>-1</v>
      </c>
      <c r="E83" s="0" t="s">
        <v>125</v>
      </c>
    </row>
    <row r="84" customFormat="false" ht="12.75" hidden="false" customHeight="false" outlineLevel="0" collapsed="false">
      <c r="A84" s="0" t="s">
        <v>126</v>
      </c>
      <c r="B84" s="0" t="n">
        <f aca="false">B79</f>
        <v>0.7448</v>
      </c>
      <c r="C84" s="0" t="n">
        <v>-1</v>
      </c>
      <c r="D84" s="0" t="n">
        <v>-1</v>
      </c>
      <c r="E84" s="0" t="s">
        <v>125</v>
      </c>
    </row>
    <row r="85" customFormat="false" ht="12.75" hidden="false" customHeight="false" outlineLevel="0" collapsed="false">
      <c r="A85" s="0" t="s">
        <v>127</v>
      </c>
      <c r="B85" s="4" t="n">
        <v>0.7</v>
      </c>
      <c r="C85" s="0" t="n">
        <v>-1</v>
      </c>
      <c r="D85" s="0" t="n">
        <v>-1</v>
      </c>
    </row>
    <row r="86" customFormat="false" ht="12.75" hidden="false" customHeight="false" outlineLevel="0" collapsed="false">
      <c r="A86" s="0" t="s">
        <v>128</v>
      </c>
      <c r="B86" s="3" t="n">
        <v>0.84</v>
      </c>
      <c r="C86" s="0" t="n">
        <v>-1</v>
      </c>
      <c r="D86" s="0" t="n">
        <v>-1</v>
      </c>
      <c r="E86" s="0" t="s">
        <v>129</v>
      </c>
    </row>
    <row r="87" customFormat="false" ht="12.75" hidden="false" customHeight="false" outlineLevel="0" collapsed="false">
      <c r="A87" s="9" t="s">
        <v>130</v>
      </c>
      <c r="B87" s="0" t="n">
        <f aca="false">12/$B88</f>
        <v>2</v>
      </c>
      <c r="C87" s="0" t="n">
        <v>-1</v>
      </c>
      <c r="D87" s="0" t="n">
        <v>-1</v>
      </c>
      <c r="E87" s="0" t="s">
        <v>131</v>
      </c>
    </row>
    <row r="88" customFormat="false" ht="12.75" hidden="false" customHeight="false" outlineLevel="0" collapsed="false">
      <c r="A88" s="9" t="s">
        <v>132</v>
      </c>
      <c r="B88" s="0" t="n">
        <v>6</v>
      </c>
      <c r="C88" s="0" t="n">
        <v>-1</v>
      </c>
      <c r="D88" s="0" t="n">
        <v>-1</v>
      </c>
      <c r="E88" s="0" t="s">
        <v>133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0.70703125" defaultRowHeight="12.75" zeroHeight="false" outlineLevelRow="0" outlineLevelCol="0"/>
  <cols>
    <col collapsed="false" customWidth="true" hidden="false" outlineLevel="0" max="1" min="1" style="0" width="28.42"/>
    <col collapsed="false" customWidth="true" hidden="false" outlineLevel="0" max="2" min="2" style="0" width="7.87"/>
    <col collapsed="false" customWidth="true" hidden="false" outlineLevel="0" max="5" min="5" style="0" width="68.29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75" hidden="false" customHeight="false" outlineLevel="0" collapsed="false">
      <c r="A2" s="0" t="s">
        <v>35</v>
      </c>
      <c r="B2" s="0" t="n">
        <v>0.0071</v>
      </c>
      <c r="C2" s="0" t="n">
        <v>-1</v>
      </c>
      <c r="D2" s="0" t="n">
        <v>-1</v>
      </c>
      <c r="E2" s="0" t="s">
        <v>36</v>
      </c>
    </row>
    <row r="3" customFormat="false" ht="12.75" hidden="false" customHeight="false" outlineLevel="0" collapsed="false">
      <c r="A3" s="0" t="s">
        <v>102</v>
      </c>
      <c r="B3" s="0" t="n">
        <v>0.735</v>
      </c>
      <c r="C3" s="0" t="n">
        <v>-1</v>
      </c>
      <c r="D3" s="0" t="n">
        <v>-1</v>
      </c>
      <c r="E3" s="0" t="s">
        <v>103</v>
      </c>
    </row>
    <row r="4" customFormat="false" ht="12.75" hidden="false" customHeight="false" outlineLevel="0" collapsed="false">
      <c r="A4" s="0" t="s">
        <v>51</v>
      </c>
      <c r="B4" s="3" t="n">
        <v>0.001706</v>
      </c>
      <c r="C4" s="0" t="n">
        <v>-1</v>
      </c>
      <c r="D4" s="0" t="n">
        <v>-1</v>
      </c>
      <c r="E4" s="0" t="s">
        <v>52</v>
      </c>
    </row>
    <row r="5" customFormat="false" ht="12.75" hidden="false" customHeight="false" outlineLevel="0" collapsed="false">
      <c r="A5" s="0" t="s">
        <v>87</v>
      </c>
      <c r="B5" s="0" t="n">
        <v>0.404</v>
      </c>
      <c r="C5" s="0" t="n">
        <v>-1</v>
      </c>
      <c r="D5" s="0" t="n">
        <v>-1</v>
      </c>
      <c r="E5" s="0" t="s">
        <v>134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0.70703125" defaultRowHeight="12.75" zeroHeight="false" outlineLevelRow="0" outlineLevelCol="0"/>
  <cols>
    <col collapsed="false" customWidth="true" hidden="false" outlineLevel="0" max="1" min="1" style="0" width="28.42"/>
    <col collapsed="false" customWidth="true" hidden="false" outlineLevel="0" max="2" min="2" style="0" width="7.87"/>
    <col collapsed="false" customWidth="true" hidden="false" outlineLevel="0" max="5" min="5" style="0" width="68.29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75" hidden="false" customHeight="false" outlineLevel="0" collapsed="false">
      <c r="A2" s="0" t="s">
        <v>35</v>
      </c>
      <c r="B2" s="0" t="n">
        <v>0.0071</v>
      </c>
      <c r="C2" s="0" t="n">
        <v>-1</v>
      </c>
      <c r="D2" s="0" t="n">
        <v>-1</v>
      </c>
      <c r="E2" s="0" t="s">
        <v>36</v>
      </c>
    </row>
    <row r="3" customFormat="false" ht="12.75" hidden="false" customHeight="false" outlineLevel="0" collapsed="false">
      <c r="A3" s="0" t="s">
        <v>102</v>
      </c>
      <c r="B3" s="0" t="n">
        <v>0.72</v>
      </c>
      <c r="C3" s="0" t="n">
        <v>-1</v>
      </c>
      <c r="D3" s="0" t="n">
        <v>-1</v>
      </c>
      <c r="E3" s="0" t="s">
        <v>103</v>
      </c>
    </row>
    <row r="4" customFormat="false" ht="12.75" hidden="false" customHeight="false" outlineLevel="0" collapsed="false">
      <c r="A4" s="0" t="s">
        <v>51</v>
      </c>
      <c r="B4" s="3" t="n">
        <v>0.001706</v>
      </c>
      <c r="C4" s="0" t="n">
        <v>-1</v>
      </c>
      <c r="D4" s="0" t="n">
        <v>-1</v>
      </c>
      <c r="E4" s="0" t="s">
        <v>52</v>
      </c>
    </row>
    <row r="5" customFormat="false" ht="12.75" hidden="false" customHeight="false" outlineLevel="0" collapsed="false">
      <c r="A5" s="0" t="s">
        <v>87</v>
      </c>
      <c r="B5" s="0" t="n">
        <v>0.314</v>
      </c>
      <c r="C5" s="0" t="n">
        <v>-1</v>
      </c>
      <c r="D5" s="0" t="n">
        <v>-1</v>
      </c>
      <c r="E5" s="0" t="s">
        <v>134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0.70703125" defaultRowHeight="12.75" zeroHeight="false" outlineLevelRow="0" outlineLevelCol="0"/>
  <cols>
    <col collapsed="false" customWidth="true" hidden="false" outlineLevel="0" max="1" min="1" style="0" width="28.42"/>
    <col collapsed="false" customWidth="true" hidden="false" outlineLevel="0" max="2" min="2" style="0" width="7.87"/>
    <col collapsed="false" customWidth="true" hidden="false" outlineLevel="0" max="5" min="5" style="0" width="68.29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75" hidden="false" customHeight="false" outlineLevel="0" collapsed="false">
      <c r="A2" s="0" t="s">
        <v>35</v>
      </c>
      <c r="B2" s="0" t="n">
        <v>0.01058</v>
      </c>
      <c r="C2" s="0" t="n">
        <v>-1</v>
      </c>
      <c r="D2" s="0" t="n">
        <v>-1</v>
      </c>
      <c r="E2" s="0" t="s">
        <v>36</v>
      </c>
    </row>
    <row r="3" customFormat="false" ht="12.75" hidden="false" customHeight="false" outlineLevel="0" collapsed="false">
      <c r="A3" s="0" t="s">
        <v>102</v>
      </c>
      <c r="B3" s="0" t="n">
        <v>0.704</v>
      </c>
      <c r="C3" s="0" t="n">
        <v>-1</v>
      </c>
      <c r="D3" s="0" t="n">
        <v>-1</v>
      </c>
      <c r="E3" s="0" t="s">
        <v>103</v>
      </c>
    </row>
    <row r="4" customFormat="false" ht="12.75" hidden="false" customHeight="false" outlineLevel="0" collapsed="false">
      <c r="A4" s="0" t="s">
        <v>51</v>
      </c>
      <c r="B4" s="3" t="n">
        <v>0.001706</v>
      </c>
      <c r="C4" s="0" t="n">
        <v>-1</v>
      </c>
      <c r="D4" s="0" t="n">
        <v>-1</v>
      </c>
      <c r="E4" s="0" t="s">
        <v>52</v>
      </c>
    </row>
    <row r="5" customFormat="false" ht="12.75" hidden="false" customHeight="false" outlineLevel="0" collapsed="false">
      <c r="A5" s="0" t="s">
        <v>87</v>
      </c>
      <c r="B5" s="0" t="n">
        <v>0.314</v>
      </c>
      <c r="C5" s="0" t="n">
        <v>-1</v>
      </c>
      <c r="D5" s="0" t="n">
        <v>-1</v>
      </c>
      <c r="E5" s="0" t="s">
        <v>134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0.70703125" defaultRowHeight="12.75" zeroHeight="false" outlineLevelRow="0" outlineLevelCol="0"/>
  <cols>
    <col collapsed="false" customWidth="true" hidden="false" outlineLevel="0" max="1" min="1" style="0" width="28.42"/>
    <col collapsed="false" customWidth="true" hidden="false" outlineLevel="0" max="2" min="2" style="0" width="7.87"/>
    <col collapsed="false" customWidth="true" hidden="false" outlineLevel="0" max="5" min="5" style="0" width="68.29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75" hidden="false" customHeight="false" outlineLevel="0" collapsed="false">
      <c r="A2" s="0" t="s">
        <v>35</v>
      </c>
      <c r="B2" s="0" t="n">
        <v>0.01058</v>
      </c>
      <c r="C2" s="0" t="n">
        <v>-1</v>
      </c>
      <c r="D2" s="0" t="n">
        <v>-1</v>
      </c>
      <c r="E2" s="0" t="s">
        <v>36</v>
      </c>
    </row>
    <row r="3" customFormat="false" ht="12.75" hidden="false" customHeight="false" outlineLevel="0" collapsed="false">
      <c r="A3" s="0" t="s">
        <v>102</v>
      </c>
      <c r="B3" s="0" t="n">
        <v>0.689</v>
      </c>
      <c r="C3" s="0" t="n">
        <v>-1</v>
      </c>
      <c r="D3" s="0" t="n">
        <v>-1</v>
      </c>
      <c r="E3" s="0" t="s">
        <v>103</v>
      </c>
    </row>
    <row r="4" customFormat="false" ht="12.75" hidden="false" customHeight="false" outlineLevel="0" collapsed="false">
      <c r="A4" s="0" t="s">
        <v>51</v>
      </c>
      <c r="B4" s="3" t="n">
        <v>0.001706</v>
      </c>
      <c r="C4" s="0" t="n">
        <v>-1</v>
      </c>
      <c r="D4" s="0" t="n">
        <v>-1</v>
      </c>
      <c r="E4" s="0" t="s">
        <v>52</v>
      </c>
    </row>
    <row r="5" customFormat="false" ht="12.75" hidden="false" customHeight="false" outlineLevel="0" collapsed="false">
      <c r="A5" s="0" t="s">
        <v>87</v>
      </c>
      <c r="B5" s="0" t="n">
        <v>0.219</v>
      </c>
      <c r="C5" s="0" t="n">
        <v>-1</v>
      </c>
      <c r="D5" s="0" t="n">
        <v>-1</v>
      </c>
      <c r="E5" s="0" t="s">
        <v>134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0.70703125" defaultRowHeight="12.75" zeroHeight="false" outlineLevelRow="0" outlineLevelCol="0"/>
  <cols>
    <col collapsed="false" customWidth="true" hidden="false" outlineLevel="0" max="1" min="1" style="0" width="28.42"/>
    <col collapsed="false" customWidth="true" hidden="false" outlineLevel="0" max="2" min="2" style="0" width="7.87"/>
    <col collapsed="false" customWidth="true" hidden="false" outlineLevel="0" max="5" min="5" style="0" width="68.29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75" hidden="false" customHeight="false" outlineLevel="0" collapsed="false">
      <c r="A2" s="0" t="s">
        <v>35</v>
      </c>
      <c r="B2" s="0" t="n">
        <v>0.00049</v>
      </c>
      <c r="C2" s="0" t="n">
        <v>-1</v>
      </c>
      <c r="D2" s="0" t="n">
        <v>-1</v>
      </c>
      <c r="E2" s="0" t="s">
        <v>36</v>
      </c>
    </row>
    <row r="3" customFormat="false" ht="12.75" hidden="false" customHeight="false" outlineLevel="0" collapsed="false">
      <c r="A3" s="0" t="s">
        <v>102</v>
      </c>
      <c r="B3" s="0" t="n">
        <v>0.673</v>
      </c>
      <c r="C3" s="0" t="n">
        <v>-1</v>
      </c>
      <c r="D3" s="0" t="n">
        <v>-1</v>
      </c>
      <c r="E3" s="0" t="s">
        <v>103</v>
      </c>
    </row>
    <row r="4" customFormat="false" ht="12.75" hidden="false" customHeight="false" outlineLevel="0" collapsed="false">
      <c r="A4" s="0" t="s">
        <v>51</v>
      </c>
      <c r="B4" s="3" t="n">
        <v>0.001706</v>
      </c>
      <c r="C4" s="0" t="n">
        <v>-1</v>
      </c>
      <c r="D4" s="0" t="n">
        <v>-1</v>
      </c>
      <c r="E4" s="0" t="s">
        <v>52</v>
      </c>
    </row>
    <row r="5" customFormat="false" ht="12.75" hidden="false" customHeight="false" outlineLevel="0" collapsed="false">
      <c r="A5" s="0" t="s">
        <v>87</v>
      </c>
      <c r="B5" s="0" t="n">
        <v>0.219</v>
      </c>
      <c r="C5" s="0" t="n">
        <v>-1</v>
      </c>
      <c r="D5" s="0" t="n">
        <v>-1</v>
      </c>
      <c r="E5" s="0" t="s">
        <v>134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0.70703125" defaultRowHeight="12.75" zeroHeight="false" outlineLevelRow="0" outlineLevelCol="0"/>
  <cols>
    <col collapsed="false" customWidth="true" hidden="false" outlineLevel="0" max="1" min="1" style="0" width="28.42"/>
    <col collapsed="false" customWidth="true" hidden="false" outlineLevel="0" max="2" min="2" style="0" width="7.87"/>
    <col collapsed="false" customWidth="true" hidden="false" outlineLevel="0" max="5" min="5" style="0" width="68.29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75" hidden="false" customHeight="false" outlineLevel="0" collapsed="false">
      <c r="A2" s="0" t="s">
        <v>35</v>
      </c>
      <c r="B2" s="0" t="n">
        <v>0.00049</v>
      </c>
      <c r="C2" s="0" t="n">
        <v>-1</v>
      </c>
      <c r="D2" s="0" t="n">
        <v>-1</v>
      </c>
      <c r="E2" s="0" t="s">
        <v>36</v>
      </c>
    </row>
    <row r="3" customFormat="false" ht="12.75" hidden="false" customHeight="false" outlineLevel="0" collapsed="false">
      <c r="A3" s="0" t="s">
        <v>102</v>
      </c>
      <c r="B3" s="0" t="n">
        <v>0.658</v>
      </c>
      <c r="C3" s="0" t="n">
        <v>-1</v>
      </c>
      <c r="D3" s="0" t="n">
        <v>-1</v>
      </c>
      <c r="E3" s="0" t="s">
        <v>103</v>
      </c>
    </row>
    <row r="4" customFormat="false" ht="12.75" hidden="false" customHeight="false" outlineLevel="0" collapsed="false">
      <c r="A4" s="0" t="s">
        <v>51</v>
      </c>
      <c r="B4" s="3" t="n">
        <v>0.001706</v>
      </c>
      <c r="C4" s="0" t="n">
        <v>-1</v>
      </c>
      <c r="D4" s="0" t="n">
        <v>-1</v>
      </c>
      <c r="E4" s="0" t="s">
        <v>52</v>
      </c>
    </row>
    <row r="5" customFormat="false" ht="12.75" hidden="false" customHeight="false" outlineLevel="0" collapsed="false">
      <c r="A5" s="0" t="s">
        <v>87</v>
      </c>
      <c r="B5" s="0" t="n">
        <v>0.048</v>
      </c>
      <c r="C5" s="0" t="n">
        <v>-1</v>
      </c>
      <c r="D5" s="0" t="n">
        <v>-1</v>
      </c>
      <c r="E5" s="0" t="s">
        <v>134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0.70703125" defaultRowHeight="12.75" zeroHeight="false" outlineLevelRow="0" outlineLevelCol="0"/>
  <cols>
    <col collapsed="false" customWidth="true" hidden="false" outlineLevel="0" max="1" min="1" style="0" width="28.42"/>
    <col collapsed="false" customWidth="true" hidden="false" outlineLevel="0" max="2" min="2" style="0" width="7.87"/>
    <col collapsed="false" customWidth="true" hidden="false" outlineLevel="0" max="5" min="5" style="0" width="68.29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75" hidden="false" customHeight="false" outlineLevel="0" collapsed="false">
      <c r="A2" s="0" t="s">
        <v>35</v>
      </c>
      <c r="B2" s="0" t="n">
        <v>0.00049</v>
      </c>
      <c r="C2" s="0" t="n">
        <v>-1</v>
      </c>
      <c r="D2" s="0" t="n">
        <v>-1</v>
      </c>
      <c r="E2" s="0" t="s">
        <v>36</v>
      </c>
    </row>
    <row r="3" customFormat="false" ht="12.75" hidden="false" customHeight="false" outlineLevel="0" collapsed="false">
      <c r="A3" s="0" t="s">
        <v>102</v>
      </c>
      <c r="B3" s="0" t="n">
        <v>0.643</v>
      </c>
      <c r="C3" s="0" t="n">
        <v>-1</v>
      </c>
      <c r="D3" s="0" t="n">
        <v>-1</v>
      </c>
      <c r="E3" s="0" t="s">
        <v>103</v>
      </c>
    </row>
    <row r="4" customFormat="false" ht="12.75" hidden="false" customHeight="false" outlineLevel="0" collapsed="false">
      <c r="A4" s="0" t="s">
        <v>51</v>
      </c>
      <c r="B4" s="3" t="n">
        <v>0.001706</v>
      </c>
      <c r="C4" s="0" t="n">
        <v>-1</v>
      </c>
      <c r="D4" s="0" t="n">
        <v>-1</v>
      </c>
      <c r="E4" s="0" t="s">
        <v>52</v>
      </c>
    </row>
    <row r="5" customFormat="false" ht="12.75" hidden="false" customHeight="false" outlineLevel="0" collapsed="false">
      <c r="A5" s="0" t="s">
        <v>87</v>
      </c>
      <c r="B5" s="0" t="n">
        <v>0.048</v>
      </c>
      <c r="C5" s="0" t="n">
        <v>-1</v>
      </c>
      <c r="D5" s="0" t="n">
        <v>-1</v>
      </c>
      <c r="E5" s="0" t="s">
        <v>134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0.70703125" defaultRowHeight="12.75" zeroHeight="false" outlineLevelRow="0" outlineLevelCol="0"/>
  <cols>
    <col collapsed="false" customWidth="true" hidden="false" outlineLevel="0" max="1" min="1" style="0" width="28.42"/>
    <col collapsed="false" customWidth="true" hidden="false" outlineLevel="0" max="2" min="2" style="0" width="7.87"/>
    <col collapsed="false" customWidth="true" hidden="false" outlineLevel="0" max="5" min="5" style="0" width="68.29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75" hidden="false" customHeight="false" outlineLevel="0" collapsed="false">
      <c r="A2" s="0" t="s">
        <v>35</v>
      </c>
      <c r="B2" s="0" t="n">
        <v>0.00049</v>
      </c>
      <c r="C2" s="0" t="n">
        <v>-1</v>
      </c>
      <c r="D2" s="0" t="n">
        <v>-1</v>
      </c>
      <c r="E2" s="0" t="s">
        <v>36</v>
      </c>
    </row>
    <row r="3" customFormat="false" ht="12.75" hidden="false" customHeight="false" outlineLevel="0" collapsed="false">
      <c r="A3" s="0" t="s">
        <v>102</v>
      </c>
      <c r="B3" s="0" t="n">
        <v>0.627</v>
      </c>
      <c r="C3" s="0" t="n">
        <v>-1</v>
      </c>
      <c r="D3" s="0" t="n">
        <v>-1</v>
      </c>
      <c r="E3" s="0" t="s">
        <v>103</v>
      </c>
    </row>
    <row r="4" customFormat="false" ht="12.75" hidden="false" customHeight="false" outlineLevel="0" collapsed="false">
      <c r="A4" s="0" t="s">
        <v>51</v>
      </c>
      <c r="B4" s="3" t="n">
        <v>0.001706</v>
      </c>
      <c r="C4" s="0" t="n">
        <v>-1</v>
      </c>
      <c r="D4" s="0" t="n">
        <v>-1</v>
      </c>
      <c r="E4" s="0" t="s">
        <v>52</v>
      </c>
    </row>
    <row r="5" customFormat="false" ht="12.75" hidden="false" customHeight="false" outlineLevel="0" collapsed="false">
      <c r="A5" s="0" t="s">
        <v>87</v>
      </c>
      <c r="B5" s="0" t="n">
        <v>0.048</v>
      </c>
      <c r="C5" s="0" t="n">
        <v>-1</v>
      </c>
      <c r="D5" s="0" t="n">
        <v>-1</v>
      </c>
      <c r="E5" s="0" t="s">
        <v>134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0.70703125" defaultRowHeight="12.75" zeroHeight="false" outlineLevelRow="0" outlineLevelCol="0"/>
  <cols>
    <col collapsed="false" customWidth="true" hidden="false" outlineLevel="0" max="1" min="1" style="0" width="28.42"/>
    <col collapsed="false" customWidth="true" hidden="false" outlineLevel="0" max="2" min="2" style="0" width="7.87"/>
    <col collapsed="false" customWidth="true" hidden="false" outlineLevel="0" max="5" min="5" style="0" width="68.29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75" hidden="false" customHeight="false" outlineLevel="0" collapsed="false">
      <c r="A2" s="0" t="s">
        <v>35</v>
      </c>
      <c r="B2" s="0" t="n">
        <v>0.00049</v>
      </c>
      <c r="C2" s="0" t="n">
        <v>-1</v>
      </c>
      <c r="D2" s="0" t="n">
        <v>-1</v>
      </c>
      <c r="E2" s="0" t="s">
        <v>36</v>
      </c>
    </row>
    <row r="3" customFormat="false" ht="12.75" hidden="false" customHeight="false" outlineLevel="0" collapsed="false">
      <c r="A3" s="0" t="s">
        <v>102</v>
      </c>
      <c r="B3" s="0" t="n">
        <v>0.612</v>
      </c>
      <c r="C3" s="0" t="n">
        <v>-1</v>
      </c>
      <c r="D3" s="0" t="n">
        <v>-1</v>
      </c>
      <c r="E3" s="0" t="s">
        <v>103</v>
      </c>
    </row>
    <row r="4" customFormat="false" ht="12.75" hidden="false" customHeight="false" outlineLevel="0" collapsed="false">
      <c r="A4" s="0" t="s">
        <v>51</v>
      </c>
      <c r="B4" s="3" t="n">
        <v>0.001706</v>
      </c>
      <c r="C4" s="0" t="n">
        <v>-1</v>
      </c>
      <c r="D4" s="0" t="n">
        <v>-1</v>
      </c>
      <c r="E4" s="0" t="s">
        <v>52</v>
      </c>
    </row>
    <row r="5" customFormat="false" ht="12.75" hidden="false" customHeight="false" outlineLevel="0" collapsed="false">
      <c r="A5" s="0" t="s">
        <v>87</v>
      </c>
      <c r="B5" s="0" t="n">
        <v>0.048</v>
      </c>
      <c r="C5" s="0" t="n">
        <v>-1</v>
      </c>
      <c r="D5" s="0" t="n">
        <v>-1</v>
      </c>
      <c r="E5" s="0" t="s">
        <v>134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0.70703125" defaultRowHeight="12.75" zeroHeight="false" outlineLevelRow="0" outlineLevelCol="0"/>
  <cols>
    <col collapsed="false" customWidth="true" hidden="false" outlineLevel="0" max="1" min="1" style="0" width="28.42"/>
    <col collapsed="false" customWidth="true" hidden="false" outlineLevel="0" max="2" min="2" style="0" width="7.87"/>
    <col collapsed="false" customWidth="true" hidden="false" outlineLevel="0" max="5" min="5" style="0" width="68.29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75" hidden="false" customHeight="false" outlineLevel="0" collapsed="false">
      <c r="A2" s="0" t="s">
        <v>35</v>
      </c>
      <c r="B2" s="0" t="n">
        <v>0.00049</v>
      </c>
      <c r="C2" s="0" t="n">
        <v>-1</v>
      </c>
      <c r="D2" s="0" t="n">
        <v>-1</v>
      </c>
      <c r="E2" s="0" t="s">
        <v>36</v>
      </c>
    </row>
    <row r="3" customFormat="false" ht="12.75" hidden="false" customHeight="false" outlineLevel="0" collapsed="false">
      <c r="A3" s="0" t="s">
        <v>102</v>
      </c>
      <c r="B3" s="0" t="n">
        <v>0.597</v>
      </c>
      <c r="C3" s="0" t="n">
        <v>-1</v>
      </c>
      <c r="D3" s="0" t="n">
        <v>-1</v>
      </c>
      <c r="E3" s="0" t="s">
        <v>103</v>
      </c>
    </row>
    <row r="4" customFormat="false" ht="12.75" hidden="false" customHeight="false" outlineLevel="0" collapsed="false">
      <c r="A4" s="0" t="s">
        <v>51</v>
      </c>
      <c r="B4" s="3" t="n">
        <v>0.001706</v>
      </c>
      <c r="C4" s="0" t="n">
        <v>-1</v>
      </c>
      <c r="D4" s="0" t="n">
        <v>-1</v>
      </c>
      <c r="E4" s="0" t="s">
        <v>52</v>
      </c>
    </row>
    <row r="5" customFormat="false" ht="12.75" hidden="false" customHeight="false" outlineLevel="0" collapsed="false">
      <c r="A5" s="0" t="s">
        <v>87</v>
      </c>
      <c r="B5" s="0" t="n">
        <v>0.048</v>
      </c>
      <c r="C5" s="0" t="n">
        <v>-1</v>
      </c>
      <c r="D5" s="0" t="n">
        <v>-1</v>
      </c>
      <c r="E5" s="0" t="s">
        <v>134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0.70703125" defaultRowHeight="12.75" zeroHeight="false" outlineLevelRow="0" outlineLevelCol="0"/>
  <cols>
    <col collapsed="false" customWidth="true" hidden="false" outlineLevel="0" max="1" min="1" style="0" width="28.42"/>
    <col collapsed="false" customWidth="true" hidden="false" outlineLevel="0" max="2" min="2" style="0" width="7.87"/>
    <col collapsed="false" customWidth="true" hidden="false" outlineLevel="0" max="5" min="5" style="0" width="68.29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75" hidden="false" customHeight="false" outlineLevel="0" collapsed="false">
      <c r="A2" s="0" t="s">
        <v>35</v>
      </c>
      <c r="B2" s="0" t="n">
        <v>0.00049</v>
      </c>
      <c r="C2" s="0" t="n">
        <v>-1</v>
      </c>
      <c r="D2" s="0" t="n">
        <v>-1</v>
      </c>
      <c r="E2" s="0" t="s">
        <v>36</v>
      </c>
    </row>
    <row r="3" customFormat="false" ht="12.75" hidden="false" customHeight="false" outlineLevel="0" collapsed="false">
      <c r="A3" s="0" t="s">
        <v>102</v>
      </c>
      <c r="B3" s="0" t="n">
        <v>0.581</v>
      </c>
      <c r="C3" s="0" t="n">
        <v>-1</v>
      </c>
      <c r="D3" s="0" t="n">
        <v>-1</v>
      </c>
      <c r="E3" s="0" t="s">
        <v>103</v>
      </c>
    </row>
    <row r="4" customFormat="false" ht="12.75" hidden="false" customHeight="false" outlineLevel="0" collapsed="false">
      <c r="A4" s="0" t="s">
        <v>51</v>
      </c>
      <c r="B4" s="3" t="n">
        <v>0.001706</v>
      </c>
      <c r="C4" s="0" t="n">
        <v>-1</v>
      </c>
      <c r="D4" s="0" t="n">
        <v>-1</v>
      </c>
      <c r="E4" s="0" t="s">
        <v>52</v>
      </c>
    </row>
    <row r="5" customFormat="false" ht="12.75" hidden="false" customHeight="false" outlineLevel="0" collapsed="false">
      <c r="A5" s="0" t="s">
        <v>87</v>
      </c>
      <c r="B5" s="0" t="n">
        <v>0.048</v>
      </c>
      <c r="C5" s="0" t="n">
        <v>-1</v>
      </c>
      <c r="D5" s="0" t="n">
        <v>-1</v>
      </c>
      <c r="E5" s="0" t="s">
        <v>134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13019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2020-01-03T09:55:15Z</dcterms:created>
  <dc:creator>Apache POI</dc:creator>
  <dc:description/>
  <dc:language>en-US</dc:language>
  <cp:lastModifiedBy/>
  <dcterms:modified xsi:type="dcterms:W3CDTF">2024-08-01T17:12:09Z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