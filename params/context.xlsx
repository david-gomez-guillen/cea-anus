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D0B8A2B3-7DCC-46BE-AB58-CF96D097437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anal_canc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86" i="1" l="1"/>
  <c r="B84" i="1"/>
  <c r="B83" i="1"/>
  <c r="B81" i="1"/>
  <c r="B11" i="1"/>
  <c r="B76" i="1"/>
  <c r="B46" i="1"/>
  <c r="B87" i="1" l="1"/>
  <c r="B33" i="1" s="1"/>
  <c r="B45" i="1" l="1"/>
  <c r="B77" i="1"/>
  <c r="B78" i="1"/>
  <c r="B36" i="1"/>
  <c r="B43" i="1"/>
  <c r="B44" i="1" s="1"/>
  <c r="B35" i="1" l="1"/>
  <c r="B75" i="1" s="1"/>
</calcChain>
</file>

<file path=xl/sharedStrings.xml><?xml version="1.0" encoding="utf-8"?>
<sst xmlns="http://schemas.openxmlformats.org/spreadsheetml/2006/main" count="136" uniqueCount="133">
  <si>
    <t>variable</t>
  </si>
  <si>
    <t>value1</t>
  </si>
  <si>
    <t>lower</t>
  </si>
  <si>
    <t>upper</t>
  </si>
  <si>
    <t>notes</t>
  </si>
  <si>
    <t>c_cyto</t>
  </si>
  <si>
    <t>c_followup</t>
  </si>
  <si>
    <t>* (semestral followups)</t>
  </si>
  <si>
    <t>c_surgery</t>
  </si>
  <si>
    <t>sensitivity_hra___cyto_no_hsil</t>
  </si>
  <si>
    <t>specificity_hra___cyto_no_hsil</t>
  </si>
  <si>
    <t>sensitivity_hra___cyto_hsil</t>
  </si>
  <si>
    <t>specificity_hra___cyto_hsil</t>
  </si>
  <si>
    <t>p_cyto_b___cancer</t>
  </si>
  <si>
    <t>p_cyto_b___no_cancer</t>
  </si>
  <si>
    <t>p_cyto_hsil___cancer</t>
  </si>
  <si>
    <t>p_cyto_hsil___no_cancer</t>
  </si>
  <si>
    <t>u_hiv_p</t>
  </si>
  <si>
    <t>u_cancer</t>
  </si>
  <si>
    <t>Võrno 2017</t>
  </si>
  <si>
    <t>u_survive</t>
  </si>
  <si>
    <t>p_cancer</t>
  </si>
  <si>
    <t>p_death_other</t>
  </si>
  <si>
    <t>p_death_cancer</t>
  </si>
  <si>
    <t>p_cancer___semestral_followup</t>
  </si>
  <si>
    <t>p_recurrence</t>
  </si>
  <si>
    <t>u_undetected_cancer</t>
  </si>
  <si>
    <t>p_cancer___semestral_followup_undetected</t>
  </si>
  <si>
    <t>p_death_cancer___undetected</t>
  </si>
  <si>
    <t>u_sem_followup1</t>
  </si>
  <si>
    <t>u_sem_followup2</t>
  </si>
  <si>
    <t>sensitivity_hpv16la</t>
  </si>
  <si>
    <t>specificity_hpv16la</t>
  </si>
  <si>
    <t>sensitivity_hpv1618la</t>
  </si>
  <si>
    <t>specificity_hpv1618la</t>
  </si>
  <si>
    <t>c_hpv1618la</t>
  </si>
  <si>
    <t>c_hpv16la</t>
  </si>
  <si>
    <t>p_hpv16la_p___cancer</t>
  </si>
  <si>
    <t>p_hpv1618la_p___cancer</t>
  </si>
  <si>
    <t>periodicity_months</t>
  </si>
  <si>
    <t>periodicity_times_in_year</t>
  </si>
  <si>
    <t>Number of iterations per year in simulation</t>
  </si>
  <si>
    <t>Number of months after each simulation (period)</t>
  </si>
  <si>
    <t>c_followup___irc</t>
  </si>
  <si>
    <t>p_hra_cyto_no_hsil_nor_cancer___cancer</t>
  </si>
  <si>
    <t>c_hpvhrla</t>
  </si>
  <si>
    <t>p_hpvhrla_p___cancer</t>
  </si>
  <si>
    <t>sensitivity_hpvhrla</t>
  </si>
  <si>
    <t>specificity_hpvhrla</t>
  </si>
  <si>
    <t>c_arnm16</t>
  </si>
  <si>
    <t>c_arnm161845</t>
  </si>
  <si>
    <t>c_arnmhr</t>
  </si>
  <si>
    <t>p_arnm16_p___cancer</t>
  </si>
  <si>
    <t>p_arnm16_p___no_cancer</t>
  </si>
  <si>
    <t>p_arnm161845_p___cancer</t>
  </si>
  <si>
    <t>p_arnm161845_p___no_cancer</t>
  </si>
  <si>
    <t>p_arnmhr_p___cancer</t>
  </si>
  <si>
    <t>p_arnmhr_p___no_cancer</t>
  </si>
  <si>
    <t>p_cyto_ascus_or_lsil___cancer</t>
  </si>
  <si>
    <t>p_cyto_ascus_or_lsil___no_cancer</t>
  </si>
  <si>
    <t>p_hpv16la_p___no_cancer</t>
  </si>
  <si>
    <t>p_hpv1618la_p___no_cancer</t>
  </si>
  <si>
    <t>p_hpvhrla_p___no_cancer</t>
  </si>
  <si>
    <t>c_hpvhrhc</t>
  </si>
  <si>
    <t>sensitivity_hpvhrhc</t>
  </si>
  <si>
    <t>specificity_hpvhrhc</t>
  </si>
  <si>
    <t>p_hpvhrhc_p___cancer</t>
  </si>
  <si>
    <t>p_hpvhrhc_p___no_cancer</t>
  </si>
  <si>
    <t>Followup cost (including IRC)</t>
  </si>
  <si>
    <t>sensitivity_arnm16</t>
  </si>
  <si>
    <t>specificity_arnm16</t>
  </si>
  <si>
    <t>sensitivity_arnm161845</t>
  </si>
  <si>
    <t>specificity_arnm161845</t>
  </si>
  <si>
    <t>sensitivity_arnmhr</t>
  </si>
  <si>
    <t>specificity_arnmhr</t>
  </si>
  <si>
    <t>p_hra_cyto_no_hsil_nor_cancer___no_cancer</t>
  </si>
  <si>
    <t>ELAVI [(33+30)/157]</t>
  </si>
  <si>
    <t>ELAVI [(24+31)/197]</t>
  </si>
  <si>
    <t>ELAVI [43/157]</t>
  </si>
  <si>
    <t>ELAVI [127/197]</t>
  </si>
  <si>
    <t>ELAVI [(5+43)/157]</t>
  </si>
  <si>
    <t>ELAVI [(5+0)/197]</t>
  </si>
  <si>
    <t>ELAVI [134/157]</t>
  </si>
  <si>
    <t>ELAVI [0/197]</t>
  </si>
  <si>
    <t>ELAVI [1/157]</t>
  </si>
  <si>
    <t>ELAVI [66/113]</t>
  </si>
  <si>
    <t>ELAVI [1-79/241] (Assuming value in excel is specificity)</t>
  </si>
  <si>
    <t>ELAVI [74/144]</t>
  </si>
  <si>
    <t>ELAVI [1-65/210]</t>
  </si>
  <si>
    <t>ELAVI [135/347]</t>
  </si>
  <si>
    <t>ELAVI [1-0/7]</t>
  </si>
  <si>
    <t>ELAVI [88/213]</t>
  </si>
  <si>
    <t>ELAVI [1-17/141]</t>
  </si>
  <si>
    <t>ELAVI [48/79]</t>
  </si>
  <si>
    <t>ELAVI [1-59/156]</t>
  </si>
  <si>
    <t>ELAVI [58/109]</t>
  </si>
  <si>
    <t>ELAVI [1-48/126]</t>
  </si>
  <si>
    <t>ELAVI [114/235]</t>
  </si>
  <si>
    <t>ELAVI [1-13/119]</t>
  </si>
  <si>
    <t>Tarifa ICS 2013 (medico/enfermera/dispositivo/laboratorio/otros) [Anna Saura]</t>
  </si>
  <si>
    <t>Tarifa ICS 2013 (colonoscopia: medico/enfermera+uso aparato+lectura+otros) [Anna]</t>
  </si>
  <si>
    <t>Tarifa ICS 2013 (mid range value) [Anna]</t>
  </si>
  <si>
    <t>Deshmuk 2015</t>
  </si>
  <si>
    <t>survival_5year</t>
  </si>
  <si>
    <t>p_death_other_annual</t>
  </si>
  <si>
    <t>WHO [2016, Spain, prob death between 15-60 per 1000=74 -&gt; lambda=0.001708 -&gt; P(S&lt;1)=0.001706]</t>
  </si>
  <si>
    <t>ELAVI [4/28] (time?)</t>
  </si>
  <si>
    <t>p_recurrence___treatment</t>
  </si>
  <si>
    <t>Burgos J DOI:10.1097/QAD.0000000000001433 -&gt; recurrence 17.5 years=0.35 -&gt; lambda=0.02462 -&gt; P(R&lt;1)=0.02432</t>
  </si>
  <si>
    <t>Clifford G DOI: 10.1002/ijc.33185 [Other source: Machalek 2012: 77.8 (59.4-96.2)]</t>
  </si>
  <si>
    <t>SEER, Anal cancer in HIV+MSM</t>
  </si>
  <si>
    <t>ELAVI [1-(134+1)/157] (assuming only HRA no HSIL -&gt; HRA, cyto no HSIL unknown)</t>
  </si>
  <si>
    <t>ELAVI [1-(0+0)/197] (assuming only HRA no HSIL -&gt; HRA, cyto no HSIL unknown)</t>
  </si>
  <si>
    <t>p_hra_hsil___cyto_hsil__cancer</t>
  </si>
  <si>
    <t>p_hra_hsil___cyto_hsil__no_cancer</t>
  </si>
  <si>
    <t>p_hra_hsil___cyto_no_hsil__cancer</t>
  </si>
  <si>
    <t>p_hra_hsil___cyto_no_hsil__no_cancer</t>
  </si>
  <si>
    <t>p_hra_invasive_cancer___cyto_hsil__cancer</t>
  </si>
  <si>
    <t>p_hra_invasive_cancer___cyto_hsil__no_cancer</t>
  </si>
  <si>
    <t>p_hra_invasive_cancer___cyto_no_hsil__cancer</t>
  </si>
  <si>
    <t>p_hra_invasive_cancer___cyto_no_hsil__no_cancer</t>
  </si>
  <si>
    <t>_p_hra_hsil___cancer</t>
  </si>
  <si>
    <t>_p_hra_hsil___no_cancer</t>
  </si>
  <si>
    <t>_p_hra_invasive_cancer___cancer</t>
  </si>
  <si>
    <t>_p_hra_invasive_cancer___no_cancer</t>
  </si>
  <si>
    <t>p_hsil___semestral_followup</t>
  </si>
  <si>
    <t>p_hsil___semestral_followup_undetected</t>
  </si>
  <si>
    <t>c_hra_treatment</t>
  </si>
  <si>
    <t>c_hra_followup</t>
  </si>
  <si>
    <t>p_cancer__annual</t>
  </si>
  <si>
    <t>u_hsil</t>
  </si>
  <si>
    <t>Assuming HSIL</t>
  </si>
  <si>
    <t>Assuming equal to u_cancer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</si>
</sst>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"/>
  <sheetViews>
    <sheetView tabSelected="1" topLeftCell="A63" zoomScale="160" zoomScaleNormal="160" workbookViewId="0">
      <selection activeCell="B86" sqref="B86"/>
    </sheetView>
  </sheetViews>
  <sheetFormatPr baseColWidth="10" defaultColWidth="10.81640625" defaultRowHeight="12.5" x14ac:dyDescent="0.25"/>
  <cols>
    <col min="1" max="1" width="43.08984375" bestFit="1" customWidth="1"/>
    <col min="2" max="2" width="10.08984375" customWidth="1"/>
    <col min="3" max="3" width="11.54296875" customWidth="1"/>
    <col min="5" max="5" width="85.1796875" bestFit="1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10.71</v>
      </c>
      <c r="C2">
        <v>-1</v>
      </c>
      <c r="D2">
        <v>-1</v>
      </c>
      <c r="E2" t="s">
        <v>99</v>
      </c>
    </row>
    <row r="3" spans="1:5" x14ac:dyDescent="0.25">
      <c r="A3" t="s">
        <v>49</v>
      </c>
      <c r="B3">
        <v>25</v>
      </c>
      <c r="C3">
        <v>-1</v>
      </c>
      <c r="D3">
        <v>-1</v>
      </c>
    </row>
    <row r="4" spans="1:5" x14ac:dyDescent="0.25">
      <c r="A4" t="s">
        <v>50</v>
      </c>
      <c r="B4">
        <v>25</v>
      </c>
      <c r="C4">
        <v>-1</v>
      </c>
      <c r="D4">
        <v>-1</v>
      </c>
    </row>
    <row r="5" spans="1:5" x14ac:dyDescent="0.25">
      <c r="A5" t="s">
        <v>51</v>
      </c>
      <c r="B5">
        <v>25</v>
      </c>
      <c r="C5">
        <v>-1</v>
      </c>
      <c r="D5">
        <v>-1</v>
      </c>
    </row>
    <row r="6" spans="1:5" x14ac:dyDescent="0.25">
      <c r="A6" t="s">
        <v>36</v>
      </c>
      <c r="B6">
        <v>0</v>
      </c>
      <c r="C6">
        <v>-1</v>
      </c>
      <c r="D6">
        <v>-1</v>
      </c>
    </row>
    <row r="7" spans="1:5" x14ac:dyDescent="0.25">
      <c r="A7" t="s">
        <v>35</v>
      </c>
      <c r="B7">
        <v>0</v>
      </c>
      <c r="C7">
        <v>-1</v>
      </c>
      <c r="D7">
        <v>-1</v>
      </c>
    </row>
    <row r="8" spans="1:5" x14ac:dyDescent="0.25">
      <c r="A8" t="s">
        <v>45</v>
      </c>
      <c r="B8">
        <v>0</v>
      </c>
      <c r="C8">
        <v>-1</v>
      </c>
      <c r="D8">
        <v>-1</v>
      </c>
    </row>
    <row r="9" spans="1:5" x14ac:dyDescent="0.25">
      <c r="A9" t="s">
        <v>63</v>
      </c>
      <c r="B9">
        <v>25</v>
      </c>
      <c r="C9">
        <v>-1</v>
      </c>
      <c r="D9">
        <v>-1</v>
      </c>
    </row>
    <row r="10" spans="1:5" x14ac:dyDescent="0.25">
      <c r="A10" t="s">
        <v>6</v>
      </c>
      <c r="B10">
        <v>0</v>
      </c>
      <c r="C10">
        <v>-1</v>
      </c>
      <c r="D10">
        <v>-1</v>
      </c>
      <c r="E10" t="s">
        <v>7</v>
      </c>
    </row>
    <row r="11" spans="1:5" x14ac:dyDescent="0.25">
      <c r="A11" t="s">
        <v>43</v>
      </c>
      <c r="B11">
        <f>B10+7.044</f>
        <v>7.0439999999999996</v>
      </c>
      <c r="C11">
        <v>-1</v>
      </c>
      <c r="D11">
        <v>-1</v>
      </c>
      <c r="E11" t="s">
        <v>68</v>
      </c>
    </row>
    <row r="12" spans="1:5" x14ac:dyDescent="0.25">
      <c r="A12" t="s">
        <v>128</v>
      </c>
      <c r="B12">
        <v>75.53</v>
      </c>
      <c r="C12">
        <v>-1</v>
      </c>
      <c r="D12">
        <v>-1</v>
      </c>
      <c r="E12" t="s">
        <v>100</v>
      </c>
    </row>
    <row r="13" spans="1:5" x14ac:dyDescent="0.25">
      <c r="A13" t="s">
        <v>127</v>
      </c>
      <c r="B13">
        <v>24.56</v>
      </c>
      <c r="C13">
        <v>-1</v>
      </c>
      <c r="D13">
        <v>-1</v>
      </c>
    </row>
    <row r="14" spans="1:5" x14ac:dyDescent="0.25">
      <c r="A14" t="s">
        <v>8</v>
      </c>
      <c r="B14">
        <v>10146</v>
      </c>
      <c r="C14">
        <v>-1</v>
      </c>
      <c r="D14">
        <v>-1</v>
      </c>
      <c r="E14" t="s">
        <v>101</v>
      </c>
    </row>
    <row r="15" spans="1:5" x14ac:dyDescent="0.25">
      <c r="A15" s="3" t="s">
        <v>69</v>
      </c>
      <c r="B15" s="5">
        <v>-1</v>
      </c>
      <c r="C15">
        <v>-1</v>
      </c>
      <c r="D15">
        <v>-1</v>
      </c>
    </row>
    <row r="16" spans="1:5" x14ac:dyDescent="0.25">
      <c r="A16" s="3" t="s">
        <v>70</v>
      </c>
      <c r="B16" s="5">
        <v>-1</v>
      </c>
      <c r="C16">
        <v>-1</v>
      </c>
      <c r="D16">
        <v>-1</v>
      </c>
    </row>
    <row r="17" spans="1:4" x14ac:dyDescent="0.25">
      <c r="A17" s="3" t="s">
        <v>71</v>
      </c>
      <c r="B17" s="5">
        <v>-1</v>
      </c>
      <c r="C17">
        <v>-1</v>
      </c>
      <c r="D17">
        <v>-1</v>
      </c>
    </row>
    <row r="18" spans="1:4" x14ac:dyDescent="0.25">
      <c r="A18" s="3" t="s">
        <v>72</v>
      </c>
      <c r="B18" s="5">
        <v>-1</v>
      </c>
      <c r="C18">
        <v>-1</v>
      </c>
      <c r="D18">
        <v>-1</v>
      </c>
    </row>
    <row r="19" spans="1:4" x14ac:dyDescent="0.25">
      <c r="A19" s="3" t="s">
        <v>73</v>
      </c>
      <c r="B19" s="5">
        <v>-1</v>
      </c>
      <c r="C19">
        <v>-1</v>
      </c>
      <c r="D19">
        <v>-1</v>
      </c>
    </row>
    <row r="20" spans="1:4" x14ac:dyDescent="0.25">
      <c r="A20" s="3" t="s">
        <v>74</v>
      </c>
      <c r="B20" s="5">
        <v>-1</v>
      </c>
      <c r="C20">
        <v>-1</v>
      </c>
      <c r="D20">
        <v>-1</v>
      </c>
    </row>
    <row r="21" spans="1:4" x14ac:dyDescent="0.25">
      <c r="A21" s="3" t="s">
        <v>31</v>
      </c>
      <c r="B21" s="5">
        <v>-1</v>
      </c>
      <c r="C21">
        <v>-1</v>
      </c>
      <c r="D21">
        <v>-1</v>
      </c>
    </row>
    <row r="22" spans="1:4" x14ac:dyDescent="0.25">
      <c r="A22" s="3" t="s">
        <v>32</v>
      </c>
      <c r="B22" s="5">
        <v>-1</v>
      </c>
      <c r="C22">
        <v>-1</v>
      </c>
      <c r="D22">
        <v>-1</v>
      </c>
    </row>
    <row r="23" spans="1:4" x14ac:dyDescent="0.25">
      <c r="A23" s="3" t="s">
        <v>33</v>
      </c>
      <c r="B23" s="5">
        <v>-1</v>
      </c>
      <c r="C23">
        <v>-1</v>
      </c>
      <c r="D23">
        <v>-1</v>
      </c>
    </row>
    <row r="24" spans="1:4" x14ac:dyDescent="0.25">
      <c r="A24" s="3" t="s">
        <v>34</v>
      </c>
      <c r="B24" s="5">
        <v>-1</v>
      </c>
      <c r="C24">
        <v>-1</v>
      </c>
      <c r="D24">
        <v>-1</v>
      </c>
    </row>
    <row r="25" spans="1:4" x14ac:dyDescent="0.25">
      <c r="A25" s="3" t="s">
        <v>47</v>
      </c>
      <c r="B25" s="5">
        <v>-1</v>
      </c>
      <c r="C25">
        <v>-1</v>
      </c>
      <c r="D25">
        <v>-1</v>
      </c>
    </row>
    <row r="26" spans="1:4" x14ac:dyDescent="0.25">
      <c r="A26" s="3" t="s">
        <v>48</v>
      </c>
      <c r="B26" s="5">
        <v>-1</v>
      </c>
      <c r="C26">
        <v>-1</v>
      </c>
      <c r="D26">
        <v>-1</v>
      </c>
    </row>
    <row r="27" spans="1:4" x14ac:dyDescent="0.25">
      <c r="A27" s="3" t="s">
        <v>64</v>
      </c>
      <c r="B27" s="5">
        <v>-1</v>
      </c>
      <c r="C27">
        <v>-1</v>
      </c>
      <c r="D27">
        <v>-1</v>
      </c>
    </row>
    <row r="28" spans="1:4" x14ac:dyDescent="0.25">
      <c r="A28" s="3" t="s">
        <v>65</v>
      </c>
      <c r="B28" s="5">
        <v>-1</v>
      </c>
      <c r="C28">
        <v>-1</v>
      </c>
      <c r="D28">
        <v>-1</v>
      </c>
    </row>
    <row r="29" spans="1:4" x14ac:dyDescent="0.25">
      <c r="A29" s="3" t="s">
        <v>9</v>
      </c>
      <c r="B29" s="5">
        <v>-1</v>
      </c>
      <c r="C29">
        <v>-1</v>
      </c>
      <c r="D29">
        <v>-1</v>
      </c>
    </row>
    <row r="30" spans="1:4" x14ac:dyDescent="0.25">
      <c r="A30" s="3" t="s">
        <v>10</v>
      </c>
      <c r="B30" s="5">
        <v>-1</v>
      </c>
      <c r="C30">
        <v>-1</v>
      </c>
      <c r="D30">
        <v>-1</v>
      </c>
    </row>
    <row r="31" spans="1:4" x14ac:dyDescent="0.25">
      <c r="A31" s="3" t="s">
        <v>11</v>
      </c>
      <c r="B31" s="5">
        <v>-1</v>
      </c>
      <c r="C31">
        <v>-1</v>
      </c>
      <c r="D31">
        <v>-1</v>
      </c>
    </row>
    <row r="32" spans="1:4" x14ac:dyDescent="0.25">
      <c r="A32" s="3" t="s">
        <v>12</v>
      </c>
      <c r="B32" s="5">
        <v>-1</v>
      </c>
      <c r="C32">
        <v>-1</v>
      </c>
      <c r="D32">
        <v>-1</v>
      </c>
    </row>
    <row r="33" spans="1:5" x14ac:dyDescent="0.25">
      <c r="A33" t="s">
        <v>21</v>
      </c>
      <c r="B33" s="4">
        <f>1-(1-B34)^(1/$B$87)</f>
        <v>4.2509035090321223E-4</v>
      </c>
      <c r="C33">
        <v>-1</v>
      </c>
      <c r="D33">
        <v>-1</v>
      </c>
    </row>
    <row r="34" spans="1:5" x14ac:dyDescent="0.25">
      <c r="A34" s="7" t="s">
        <v>129</v>
      </c>
      <c r="B34" s="7">
        <v>8.4999999999999995E-4</v>
      </c>
      <c r="E34" t="s">
        <v>109</v>
      </c>
    </row>
    <row r="35" spans="1:5" x14ac:dyDescent="0.25">
      <c r="A35" t="s">
        <v>24</v>
      </c>
      <c r="B35" s="4">
        <f>B33</f>
        <v>4.2509035090321223E-4</v>
      </c>
      <c r="C35">
        <v>-1</v>
      </c>
      <c r="D35">
        <v>-1</v>
      </c>
    </row>
    <row r="36" spans="1:5" x14ac:dyDescent="0.25">
      <c r="A36" t="s">
        <v>27</v>
      </c>
      <c r="B36" s="4">
        <f>B33</f>
        <v>4.2509035090321223E-4</v>
      </c>
      <c r="C36">
        <v>-1</v>
      </c>
      <c r="D36">
        <v>-1</v>
      </c>
    </row>
    <row r="37" spans="1:5" x14ac:dyDescent="0.25">
      <c r="A37" t="s">
        <v>58</v>
      </c>
      <c r="B37">
        <v>0.40129999999999999</v>
      </c>
      <c r="C37">
        <v>-1</v>
      </c>
      <c r="D37">
        <v>-1</v>
      </c>
      <c r="E37" t="s">
        <v>76</v>
      </c>
    </row>
    <row r="38" spans="1:5" x14ac:dyDescent="0.25">
      <c r="A38" t="s">
        <v>59</v>
      </c>
      <c r="B38">
        <v>0.2792</v>
      </c>
      <c r="C38">
        <v>-1</v>
      </c>
      <c r="D38">
        <v>-1</v>
      </c>
      <c r="E38" t="s">
        <v>77</v>
      </c>
    </row>
    <row r="39" spans="1:5" x14ac:dyDescent="0.25">
      <c r="A39" t="s">
        <v>13</v>
      </c>
      <c r="B39">
        <v>0.27389999999999998</v>
      </c>
      <c r="C39">
        <v>-1</v>
      </c>
      <c r="D39">
        <v>-1</v>
      </c>
      <c r="E39" t="s">
        <v>78</v>
      </c>
    </row>
    <row r="40" spans="1:5" x14ac:dyDescent="0.25">
      <c r="A40" t="s">
        <v>14</v>
      </c>
      <c r="B40">
        <v>0.64470000000000005</v>
      </c>
      <c r="C40">
        <v>-1</v>
      </c>
      <c r="D40">
        <v>-1</v>
      </c>
      <c r="E40" t="s">
        <v>79</v>
      </c>
    </row>
    <row r="41" spans="1:5" x14ac:dyDescent="0.25">
      <c r="A41" t="s">
        <v>15</v>
      </c>
      <c r="B41">
        <v>0.30570000000000003</v>
      </c>
      <c r="C41">
        <v>-1</v>
      </c>
      <c r="D41">
        <v>-1</v>
      </c>
      <c r="E41" t="s">
        <v>80</v>
      </c>
    </row>
    <row r="42" spans="1:5" x14ac:dyDescent="0.25">
      <c r="A42" t="s">
        <v>16</v>
      </c>
      <c r="B42">
        <v>2.5399999999999999E-2</v>
      </c>
      <c r="C42">
        <v>-1</v>
      </c>
      <c r="D42">
        <v>-1</v>
      </c>
      <c r="E42" t="s">
        <v>81</v>
      </c>
    </row>
    <row r="43" spans="1:5" x14ac:dyDescent="0.25">
      <c r="A43" t="s">
        <v>23</v>
      </c>
      <c r="B43">
        <f>1-EXP(-(-LOG(B79,EXP(1))/5)*1/$B$87)</f>
        <v>3.4901141833945326E-2</v>
      </c>
      <c r="C43">
        <v>-1</v>
      </c>
      <c r="D43">
        <v>-1</v>
      </c>
    </row>
    <row r="44" spans="1:5" x14ac:dyDescent="0.25">
      <c r="A44" t="s">
        <v>28</v>
      </c>
      <c r="B44" s="4">
        <f>B43</f>
        <v>3.4901141833945326E-2</v>
      </c>
      <c r="C44">
        <v>-1</v>
      </c>
      <c r="D44">
        <v>-1</v>
      </c>
    </row>
    <row r="45" spans="1:5" x14ac:dyDescent="0.25">
      <c r="A45" t="s">
        <v>22</v>
      </c>
      <c r="B45">
        <f>1-(1-B46)^(1/$B$87)</f>
        <v>8.5336411515646304E-4</v>
      </c>
      <c r="C45">
        <v>-1</v>
      </c>
      <c r="D45">
        <v>-1</v>
      </c>
    </row>
    <row r="46" spans="1:5" x14ac:dyDescent="0.25">
      <c r="A46" t="s">
        <v>104</v>
      </c>
      <c r="B46" s="4">
        <f>0.001706</f>
        <v>1.7060000000000001E-3</v>
      </c>
      <c r="C46">
        <v>-1</v>
      </c>
      <c r="D46">
        <v>-1</v>
      </c>
      <c r="E46" t="s">
        <v>105</v>
      </c>
    </row>
    <row r="47" spans="1:5" x14ac:dyDescent="0.25">
      <c r="A47" t="s">
        <v>52</v>
      </c>
      <c r="B47">
        <v>0.60760000000000003</v>
      </c>
      <c r="C47">
        <v>-1</v>
      </c>
      <c r="D47">
        <v>-1</v>
      </c>
      <c r="E47" t="s">
        <v>93</v>
      </c>
    </row>
    <row r="48" spans="1:5" x14ac:dyDescent="0.25">
      <c r="A48" t="s">
        <v>53</v>
      </c>
      <c r="B48" s="4">
        <v>0.62180000000000002</v>
      </c>
      <c r="C48">
        <v>-1</v>
      </c>
      <c r="D48">
        <v>-1</v>
      </c>
      <c r="E48" t="s">
        <v>94</v>
      </c>
    </row>
    <row r="49" spans="1:5" x14ac:dyDescent="0.25">
      <c r="A49" t="s">
        <v>54</v>
      </c>
      <c r="B49">
        <v>0.53210000000000002</v>
      </c>
      <c r="C49">
        <v>-1</v>
      </c>
      <c r="D49">
        <v>-1</v>
      </c>
      <c r="E49" t="s">
        <v>95</v>
      </c>
    </row>
    <row r="50" spans="1:5" x14ac:dyDescent="0.25">
      <c r="A50" t="s">
        <v>55</v>
      </c>
      <c r="B50" s="4">
        <v>0.61899999999999999</v>
      </c>
      <c r="C50">
        <v>-1</v>
      </c>
      <c r="D50">
        <v>-1</v>
      </c>
      <c r="E50" t="s">
        <v>96</v>
      </c>
    </row>
    <row r="51" spans="1:5" x14ac:dyDescent="0.25">
      <c r="A51" t="s">
        <v>56</v>
      </c>
      <c r="B51">
        <v>0.48509999999999998</v>
      </c>
      <c r="C51">
        <v>-1</v>
      </c>
      <c r="D51">
        <v>-1</v>
      </c>
      <c r="E51" t="s">
        <v>97</v>
      </c>
    </row>
    <row r="52" spans="1:5" x14ac:dyDescent="0.25">
      <c r="A52" t="s">
        <v>57</v>
      </c>
      <c r="B52" s="4">
        <v>0.89080000000000004</v>
      </c>
      <c r="C52">
        <v>-1</v>
      </c>
      <c r="D52">
        <v>-1</v>
      </c>
      <c r="E52" t="s">
        <v>98</v>
      </c>
    </row>
    <row r="53" spans="1:5" x14ac:dyDescent="0.25">
      <c r="A53" t="s">
        <v>37</v>
      </c>
      <c r="B53">
        <v>0.58409999999999995</v>
      </c>
      <c r="C53">
        <v>-1</v>
      </c>
      <c r="D53">
        <v>-1</v>
      </c>
      <c r="E53" t="s">
        <v>85</v>
      </c>
    </row>
    <row r="54" spans="1:5" x14ac:dyDescent="0.25">
      <c r="A54" t="s">
        <v>60</v>
      </c>
      <c r="B54" s="4">
        <v>0.67220000000000002</v>
      </c>
      <c r="C54">
        <v>-1</v>
      </c>
      <c r="D54">
        <v>-1</v>
      </c>
      <c r="E54" t="s">
        <v>86</v>
      </c>
    </row>
    <row r="55" spans="1:5" x14ac:dyDescent="0.25">
      <c r="A55" t="s">
        <v>38</v>
      </c>
      <c r="B55">
        <v>0.51390000000000002</v>
      </c>
      <c r="C55">
        <v>-1</v>
      </c>
      <c r="D55">
        <v>-1</v>
      </c>
      <c r="E55" t="s">
        <v>87</v>
      </c>
    </row>
    <row r="56" spans="1:5" x14ac:dyDescent="0.25">
      <c r="A56" t="s">
        <v>61</v>
      </c>
      <c r="B56" s="4">
        <v>0.6905</v>
      </c>
      <c r="C56">
        <v>-1</v>
      </c>
      <c r="D56">
        <v>-1</v>
      </c>
      <c r="E56" t="s">
        <v>88</v>
      </c>
    </row>
    <row r="57" spans="1:5" x14ac:dyDescent="0.25">
      <c r="A57" t="s">
        <v>46</v>
      </c>
      <c r="B57">
        <v>0.38900000000000001</v>
      </c>
      <c r="C57">
        <v>-1</v>
      </c>
      <c r="D57">
        <v>-1</v>
      </c>
      <c r="E57" t="s">
        <v>89</v>
      </c>
    </row>
    <row r="58" spans="1:5" x14ac:dyDescent="0.25">
      <c r="A58" t="s">
        <v>62</v>
      </c>
      <c r="B58" s="4">
        <v>1</v>
      </c>
      <c r="C58">
        <v>-1</v>
      </c>
      <c r="D58">
        <v>-1</v>
      </c>
      <c r="E58" t="s">
        <v>90</v>
      </c>
    </row>
    <row r="59" spans="1:5" x14ac:dyDescent="0.25">
      <c r="A59" t="s">
        <v>66</v>
      </c>
      <c r="B59">
        <v>0.41310000000000002</v>
      </c>
      <c r="C59">
        <v>-1</v>
      </c>
      <c r="D59">
        <v>-1</v>
      </c>
      <c r="E59" t="s">
        <v>91</v>
      </c>
    </row>
    <row r="60" spans="1:5" x14ac:dyDescent="0.25">
      <c r="A60" t="s">
        <v>67</v>
      </c>
      <c r="B60" s="4">
        <v>0.87939999999999996</v>
      </c>
      <c r="C60">
        <v>-1</v>
      </c>
      <c r="D60">
        <v>-1</v>
      </c>
      <c r="E60" t="s">
        <v>92</v>
      </c>
    </row>
    <row r="61" spans="1:5" x14ac:dyDescent="0.25">
      <c r="A61" t="s">
        <v>44</v>
      </c>
      <c r="B61">
        <v>0.1401</v>
      </c>
      <c r="C61">
        <v>-1</v>
      </c>
      <c r="D61">
        <v>-1</v>
      </c>
      <c r="E61" t="s">
        <v>111</v>
      </c>
    </row>
    <row r="62" spans="1:5" x14ac:dyDescent="0.25">
      <c r="A62" t="s">
        <v>75</v>
      </c>
      <c r="B62">
        <v>1</v>
      </c>
      <c r="C62">
        <v>-1</v>
      </c>
      <c r="D62">
        <v>-1</v>
      </c>
      <c r="E62" t="s">
        <v>112</v>
      </c>
    </row>
    <row r="63" spans="1:5" x14ac:dyDescent="0.25">
      <c r="A63" s="6" t="s">
        <v>121</v>
      </c>
      <c r="B63">
        <v>0.85350000000000004</v>
      </c>
      <c r="C63">
        <v>-1</v>
      </c>
      <c r="D63">
        <v>-1</v>
      </c>
      <c r="E63" t="s">
        <v>82</v>
      </c>
    </row>
    <row r="64" spans="1:5" x14ac:dyDescent="0.25">
      <c r="A64" s="6" t="s">
        <v>122</v>
      </c>
      <c r="B64">
        <v>0</v>
      </c>
      <c r="C64">
        <v>-1</v>
      </c>
      <c r="D64">
        <v>-1</v>
      </c>
      <c r="E64" t="s">
        <v>83</v>
      </c>
    </row>
    <row r="65" spans="1:5" x14ac:dyDescent="0.25">
      <c r="A65" t="s">
        <v>113</v>
      </c>
      <c r="B65">
        <v>0.85350000000000004</v>
      </c>
      <c r="C65">
        <v>-1</v>
      </c>
      <c r="D65">
        <v>-1</v>
      </c>
    </row>
    <row r="66" spans="1:5" x14ac:dyDescent="0.25">
      <c r="A66" t="s">
        <v>114</v>
      </c>
      <c r="B66">
        <v>0</v>
      </c>
      <c r="C66">
        <v>-1</v>
      </c>
      <c r="D66">
        <v>-1</v>
      </c>
    </row>
    <row r="67" spans="1:5" x14ac:dyDescent="0.25">
      <c r="A67" t="s">
        <v>115</v>
      </c>
      <c r="B67">
        <v>0.85350000000000004</v>
      </c>
      <c r="C67">
        <v>-1</v>
      </c>
      <c r="D67">
        <v>-1</v>
      </c>
    </row>
    <row r="68" spans="1:5" x14ac:dyDescent="0.25">
      <c r="A68" t="s">
        <v>116</v>
      </c>
      <c r="B68">
        <v>0</v>
      </c>
      <c r="C68">
        <v>-1</v>
      </c>
      <c r="D68">
        <v>-1</v>
      </c>
    </row>
    <row r="69" spans="1:5" x14ac:dyDescent="0.25">
      <c r="A69" s="6" t="s">
        <v>123</v>
      </c>
      <c r="B69" s="4">
        <v>6.4000000000000003E-3</v>
      </c>
      <c r="C69">
        <v>-1</v>
      </c>
      <c r="D69">
        <v>-1</v>
      </c>
      <c r="E69" s="4" t="s">
        <v>84</v>
      </c>
    </row>
    <row r="70" spans="1:5" x14ac:dyDescent="0.25">
      <c r="A70" s="6" t="s">
        <v>124</v>
      </c>
      <c r="B70">
        <v>0</v>
      </c>
      <c r="C70">
        <v>-1</v>
      </c>
      <c r="D70">
        <v>-1</v>
      </c>
      <c r="E70" t="s">
        <v>83</v>
      </c>
    </row>
    <row r="71" spans="1:5" x14ac:dyDescent="0.25">
      <c r="A71" t="s">
        <v>117</v>
      </c>
      <c r="B71">
        <v>6.4000000000000003E-3</v>
      </c>
      <c r="C71">
        <v>-1</v>
      </c>
      <c r="D71">
        <v>-1</v>
      </c>
    </row>
    <row r="72" spans="1:5" x14ac:dyDescent="0.25">
      <c r="A72" t="s">
        <v>118</v>
      </c>
      <c r="B72">
        <v>0</v>
      </c>
      <c r="C72">
        <v>-1</v>
      </c>
      <c r="D72">
        <v>-1</v>
      </c>
    </row>
    <row r="73" spans="1:5" x14ac:dyDescent="0.25">
      <c r="A73" t="s">
        <v>119</v>
      </c>
      <c r="B73">
        <v>6.4000000000000003E-3</v>
      </c>
      <c r="C73">
        <v>-1</v>
      </c>
      <c r="D73">
        <v>-1</v>
      </c>
    </row>
    <row r="74" spans="1:5" x14ac:dyDescent="0.25">
      <c r="A74" t="s">
        <v>120</v>
      </c>
      <c r="B74">
        <v>0</v>
      </c>
      <c r="C74">
        <v>-1</v>
      </c>
      <c r="D74">
        <v>-1</v>
      </c>
    </row>
    <row r="75" spans="1:5" x14ac:dyDescent="0.25">
      <c r="A75" t="s">
        <v>125</v>
      </c>
      <c r="B75">
        <f>B67*B35+B68*(1-B35)</f>
        <v>3.6281461449589166E-4</v>
      </c>
      <c r="C75">
        <v>-1</v>
      </c>
      <c r="D75">
        <v>-1</v>
      </c>
    </row>
    <row r="76" spans="1:5" x14ac:dyDescent="0.25">
      <c r="A76" t="s">
        <v>126</v>
      </c>
      <c r="B76">
        <f>B67</f>
        <v>0.85350000000000004</v>
      </c>
      <c r="C76">
        <v>-1</v>
      </c>
      <c r="D76">
        <v>-1</v>
      </c>
    </row>
    <row r="77" spans="1:5" x14ac:dyDescent="0.25">
      <c r="A77" t="s">
        <v>25</v>
      </c>
      <c r="B77" s="4">
        <f>1-(1-0.1429)^(1/$B$87)</f>
        <v>7.4203046019268859E-2</v>
      </c>
      <c r="C77">
        <v>-1</v>
      </c>
      <c r="D77">
        <v>-1</v>
      </c>
      <c r="E77" t="s">
        <v>106</v>
      </c>
    </row>
    <row r="78" spans="1:5" x14ac:dyDescent="0.25">
      <c r="A78" t="s">
        <v>107</v>
      </c>
      <c r="B78" s="4">
        <f>1-(1-0.02432)^(1/$B$87)</f>
        <v>1.22348457249567E-2</v>
      </c>
      <c r="C78">
        <v>-1</v>
      </c>
      <c r="D78">
        <v>-1</v>
      </c>
      <c r="E78" t="s">
        <v>108</v>
      </c>
    </row>
    <row r="79" spans="1:5" x14ac:dyDescent="0.25">
      <c r="A79" t="s">
        <v>103</v>
      </c>
      <c r="B79">
        <v>0.70099999999999996</v>
      </c>
      <c r="C79">
        <v>-1</v>
      </c>
      <c r="D79">
        <v>-1</v>
      </c>
      <c r="E79" t="s">
        <v>110</v>
      </c>
    </row>
    <row r="80" spans="1:5" x14ac:dyDescent="0.25">
      <c r="A80" t="s">
        <v>17</v>
      </c>
      <c r="B80">
        <v>0.76</v>
      </c>
      <c r="C80">
        <v>0.66</v>
      </c>
      <c r="D80">
        <v>0.86</v>
      </c>
      <c r="E80" t="s">
        <v>102</v>
      </c>
    </row>
    <row r="81" spans="1:5" x14ac:dyDescent="0.25">
      <c r="A81" t="s">
        <v>130</v>
      </c>
      <c r="B81" s="4">
        <f>0.98*B80</f>
        <v>0.74480000000000002</v>
      </c>
      <c r="C81">
        <v>-1</v>
      </c>
      <c r="D81">
        <v>-1</v>
      </c>
    </row>
    <row r="82" spans="1:5" x14ac:dyDescent="0.25">
      <c r="A82" t="s">
        <v>18</v>
      </c>
      <c r="B82">
        <v>0.57999999999999996</v>
      </c>
      <c r="C82">
        <v>0.5</v>
      </c>
      <c r="D82">
        <v>0.7</v>
      </c>
      <c r="E82" t="s">
        <v>102</v>
      </c>
    </row>
    <row r="83" spans="1:5" x14ac:dyDescent="0.25">
      <c r="A83" t="s">
        <v>29</v>
      </c>
      <c r="B83" s="7">
        <f>B81</f>
        <v>0.74480000000000002</v>
      </c>
      <c r="C83">
        <v>-1</v>
      </c>
      <c r="D83">
        <v>-1</v>
      </c>
      <c r="E83" t="s">
        <v>131</v>
      </c>
    </row>
    <row r="84" spans="1:5" x14ac:dyDescent="0.25">
      <c r="A84" t="s">
        <v>30</v>
      </c>
      <c r="B84" s="7">
        <f>B81</f>
        <v>0.74480000000000002</v>
      </c>
      <c r="C84">
        <v>-1</v>
      </c>
      <c r="D84">
        <v>-1</v>
      </c>
      <c r="E84" t="s">
        <v>131</v>
      </c>
    </row>
    <row r="85" spans="1:5" x14ac:dyDescent="0.25">
      <c r="A85" t="s">
        <v>20</v>
      </c>
      <c r="B85" s="4">
        <v>0.84</v>
      </c>
      <c r="C85">
        <v>-1</v>
      </c>
      <c r="D85">
        <v>-1</v>
      </c>
      <c r="E85" t="s">
        <v>19</v>
      </c>
    </row>
    <row r="86" spans="1:5" x14ac:dyDescent="0.25">
      <c r="A86" t="s">
        <v>26</v>
      </c>
      <c r="B86" s="7">
        <f>B82</f>
        <v>0.57999999999999996</v>
      </c>
      <c r="C86">
        <v>-1</v>
      </c>
      <c r="D86">
        <v>-1</v>
      </c>
      <c r="E86" t="s">
        <v>132</v>
      </c>
    </row>
    <row r="87" spans="1:5" x14ac:dyDescent="0.25">
      <c r="A87" s="2" t="s">
        <v>40</v>
      </c>
      <c r="B87">
        <f>12/$B88</f>
        <v>2</v>
      </c>
      <c r="C87">
        <v>-1</v>
      </c>
      <c r="D87">
        <v>-1</v>
      </c>
      <c r="E87" t="s">
        <v>41</v>
      </c>
    </row>
    <row r="88" spans="1:5" x14ac:dyDescent="0.25">
      <c r="A88" s="2" t="s">
        <v>39</v>
      </c>
      <c r="B88">
        <v>6</v>
      </c>
      <c r="C88">
        <v>-1</v>
      </c>
      <c r="D88">
        <v>-1</v>
      </c>
      <c r="E88" t="s">
        <v>42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13009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anal_cancer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 (IDIBELL)</cp:lastModifiedBy>
  <cp:revision>24</cp:revision>
  <dcterms:created xsi:type="dcterms:W3CDTF">2020-01-03T09:55:15Z</dcterms:created>
  <dcterms:modified xsi:type="dcterms:W3CDTF">2023-05-15T15:16:03Z</dcterms:modified>
  <dc:language>en-US</dc:language>
</cp:coreProperties>
</file>