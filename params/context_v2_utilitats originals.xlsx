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Z:\home\david\anus\params\"/>
    </mc:Choice>
  </mc:AlternateContent>
  <xr:revisionPtr revIDLastSave="0" documentId="13_ncr:1_{42D2A500-3A50-4A48-A426-DEE448FB4BE2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y25_29" sheetId="1" r:id="rId1"/>
    <sheet name="y30_34" sheetId="2" r:id="rId2"/>
    <sheet name="y35_39" sheetId="3" r:id="rId3"/>
    <sheet name="y40_44" sheetId="4" r:id="rId4"/>
    <sheet name="y45_49" sheetId="5" r:id="rId5"/>
    <sheet name="y50_54" sheetId="6" r:id="rId6"/>
    <sheet name="y55_59" sheetId="7" r:id="rId7"/>
    <sheet name="y60_64" sheetId="8" r:id="rId8"/>
    <sheet name="y65_69" sheetId="9" r:id="rId9"/>
    <sheet name="y70_74" sheetId="10" r:id="rId10"/>
    <sheet name="y75_79" sheetId="11" r:id="rId11"/>
    <sheet name="y80_84" sheetId="12" r:id="rId12"/>
  </sheets>
  <definedNames>
    <definedName name="_xlnm._FilterDatabase" localSheetId="0" hidden="1">y25_29!$A$1:$F$103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69" i="1" l="1"/>
  <c r="B87" i="1"/>
  <c r="B91" i="1" s="1"/>
  <c r="B92" i="1"/>
  <c r="B93" i="1"/>
  <c r="B98" i="1" s="1"/>
  <c r="B94" i="1"/>
  <c r="B36" i="1"/>
  <c r="B33" i="1"/>
  <c r="B103" i="1"/>
  <c r="B99" i="1" l="1"/>
  <c r="B95" i="1"/>
  <c r="B61" i="1"/>
  <c r="B62" i="1" s="1"/>
  <c r="B60" i="1"/>
  <c r="B56" i="1"/>
  <c r="B55" i="1"/>
  <c r="B18" i="1"/>
  <c r="B14" i="1" s="1"/>
  <c r="B13" i="1"/>
  <c r="B9" i="1"/>
  <c r="B8" i="1"/>
  <c r="B7" i="1"/>
  <c r="B5" i="1"/>
  <c r="B4" i="1"/>
  <c r="B3" i="1"/>
  <c r="B75" i="1" l="1"/>
  <c r="B66" i="1"/>
  <c r="B68" i="1" s="1"/>
  <c r="B35" i="1"/>
  <c r="B24" i="1"/>
  <c r="B25" i="1" s="1"/>
  <c r="B67" i="1"/>
  <c r="B73" i="1" s="1"/>
  <c r="B34" i="1"/>
  <c r="B63" i="1" l="1"/>
  <c r="B64" i="1"/>
  <c r="B57" i="1"/>
  <c r="B59" i="1" s="1"/>
</calcChain>
</file>

<file path=xl/sharedStrings.xml><?xml version="1.0" encoding="utf-8"?>
<sst xmlns="http://schemas.openxmlformats.org/spreadsheetml/2006/main" count="378" uniqueCount="225">
  <si>
    <t>variable</t>
  </si>
  <si>
    <t>value</t>
  </si>
  <si>
    <t>lower</t>
  </si>
  <si>
    <t>upper</t>
  </si>
  <si>
    <t>notes</t>
  </si>
  <si>
    <t>display_name</t>
  </si>
  <si>
    <t>c_cyto</t>
  </si>
  <si>
    <t>Inventario ELAVI</t>
  </si>
  <si>
    <t>Cost of cytology</t>
  </si>
  <si>
    <t>c_arnm16</t>
  </si>
  <si>
    <t>Inventario ELAVI (kit + tiempo técnico)</t>
  </si>
  <si>
    <t>c_arnm161845</t>
  </si>
  <si>
    <t>c_arnmhr</t>
  </si>
  <si>
    <t>c_arn_kit</t>
  </si>
  <si>
    <t>Inventario ELAVI [25€ (500/any) o 6€ (3000-70000/any)]</t>
  </si>
  <si>
    <t>Cost of ARN kit</t>
  </si>
  <si>
    <t>c_hpv16la</t>
  </si>
  <si>
    <t>c_hpv1618la</t>
  </si>
  <si>
    <t>c_hpvhrla</t>
  </si>
  <si>
    <t>c_hpvla</t>
  </si>
  <si>
    <t>Cost of HPV test (LA)</t>
  </si>
  <si>
    <t>c_hpvhrhc</t>
  </si>
  <si>
    <t>Cost of HPV test (HC)</t>
  </si>
  <si>
    <t>c_followup</t>
  </si>
  <si>
    <t>Cost of followup</t>
  </si>
  <si>
    <t>c_followup_irc</t>
  </si>
  <si>
    <t>Followup cost (including IRC)</t>
  </si>
  <si>
    <t>c_followup_tca</t>
  </si>
  <si>
    <t>c_hra_followup</t>
  </si>
  <si>
    <t>Inventario ELAVI (actualizado Mireia)</t>
  </si>
  <si>
    <t>Cost of HRA followup</t>
  </si>
  <si>
    <t>c_hra_treatment</t>
  </si>
  <si>
    <t>Cost of HRA treatment</t>
  </si>
  <si>
    <t>c_tca_single</t>
  </si>
  <si>
    <t>Cost of single application of TCA</t>
  </si>
  <si>
    <t>c_tca</t>
  </si>
  <si>
    <t>c_irc</t>
  </si>
  <si>
    <t>Cost of IRC</t>
  </si>
  <si>
    <t>c_surgery</t>
  </si>
  <si>
    <t>GRD 231.01 Procediments majors sobre l'intestí gros, de complexitat menor</t>
  </si>
  <si>
    <t>Cost of surgery</t>
  </si>
  <si>
    <t>n_tca</t>
  </si>
  <si>
    <t>ELAVI (Maria)</t>
  </si>
  <si>
    <t>Mean number of TCA per patient</t>
  </si>
  <si>
    <t>p_cancer___hra_invasive_cancer</t>
  </si>
  <si>
    <t>Assumption</t>
  </si>
  <si>
    <t>Probability of AC in patients with invasive AC in HRA</t>
  </si>
  <si>
    <t>p_cancer___hsil</t>
  </si>
  <si>
    <t>p_cancer___hsil_annual</t>
  </si>
  <si>
    <t>Probability of developing AC in HSIL patients (annual)</t>
  </si>
  <si>
    <t>p_cyto_ascus_or_lsil___hsil</t>
  </si>
  <si>
    <t>ELAVI [(33+30)/157]</t>
  </si>
  <si>
    <t>Probability of ASCUS or LSIL result in cytology in HSIL patients</t>
  </si>
  <si>
    <t>p_cyto_ascus_or_lsil___no_hsil</t>
  </si>
  <si>
    <t>ELAVI [(24+31)/197]</t>
  </si>
  <si>
    <t>Probability of ASCUS or LSIL result in cytology in no-HSIL patients</t>
  </si>
  <si>
    <t>p_cyto_b___hsil</t>
  </si>
  <si>
    <t>ELAVI [43/157]</t>
  </si>
  <si>
    <t>Probability of benign result in cytology in HSIL patients</t>
  </si>
  <si>
    <t>p_cyto_b___no_hsil</t>
  </si>
  <si>
    <t>ELAVI [127/197]</t>
  </si>
  <si>
    <t>Probability of benign result in cytology in no-HSIL patients</t>
  </si>
  <si>
    <t>p_cyto_hsil___hsil</t>
  </si>
  <si>
    <t>ELAVI [(5+43)/157]</t>
  </si>
  <si>
    <t>Probability of HSIL result in cytology in HSIL patients</t>
  </si>
  <si>
    <t>p_cyto_hsil___no_hsil</t>
  </si>
  <si>
    <t>ELAVI [(5+0)/197]</t>
  </si>
  <si>
    <t>Probability of HSIL result in cytology in no-HSIL patients</t>
  </si>
  <si>
    <t>p_death_cancer</t>
  </si>
  <si>
    <t>p_death_other</t>
  </si>
  <si>
    <t>p_death_other_annual</t>
  </si>
  <si>
    <t>WHO [2016, Spain, prob death between 15-60 per 1000=74 -&gt; lambda=0.001708 -&gt; P(S&lt;1)=0.001706]</t>
  </si>
  <si>
    <t>Probability of death from other causes (annual)</t>
  </si>
  <si>
    <t>p_arnm16_p___hsil</t>
  </si>
  <si>
    <t>ELAVI preprint (table 3)</t>
  </si>
  <si>
    <t>Probability of positive in ARNm-E6/E7 (16) in HSIL patients</t>
  </si>
  <si>
    <t>p_arnm16_p___no_hsil</t>
  </si>
  <si>
    <t>Probability of positive in ARNm-E6/E7 (16) in no-HSIL patients</t>
  </si>
  <si>
    <t>p_arnm161845_p___hsil</t>
  </si>
  <si>
    <t>ELAVI descriptive statistics (table 12, 52)</t>
  </si>
  <si>
    <t>Probability of positive in ARNm-E6/E7 (16/18/45) in HSIL patients</t>
  </si>
  <si>
    <t>p_arnm161845_p___no_hsil</t>
  </si>
  <si>
    <t>Probability of positive in ARNm-E6/E7 (16/18/45) in no-HSIL patients</t>
  </si>
  <si>
    <t>p_arnmhr_p___hsil</t>
  </si>
  <si>
    <t>Probability of positive in ARNm-E6/E7 (high-risk) in HSIL patients</t>
  </si>
  <si>
    <t>p_arnmhr_p___no_hsil</t>
  </si>
  <si>
    <t>Probability of positive in ARNm-E6/E7 (high-risk) in no-HSIL patients</t>
  </si>
  <si>
    <t>p_hpv16la_p___hsil</t>
  </si>
  <si>
    <t>Probability of positive in HPV-LA test (16) in HSIL patients</t>
  </si>
  <si>
    <t>p_hpv16la_p___no_hsil</t>
  </si>
  <si>
    <t>Probability of positive in HPV-LA test (16) in no-HSIL patients</t>
  </si>
  <si>
    <t>p_hpv1618la_p___hsil</t>
  </si>
  <si>
    <t>Probability of positive in HPV-LA test (16/18) in HSIL patients</t>
  </si>
  <si>
    <t>p_hpv1618la_p___no_hsil</t>
  </si>
  <si>
    <t>Probability of positive in HPV-LA test (16/18) in no-HSIL patients</t>
  </si>
  <si>
    <t>p_hpvhrla_p___hsil</t>
  </si>
  <si>
    <t xml:space="preserve">ELAVI preprint (table 3) </t>
  </si>
  <si>
    <t>Probability of positive in HPV-LA test (high-risk) in HSIL patients</t>
  </si>
  <si>
    <t>p_hpvhrla_p___no_hsil</t>
  </si>
  <si>
    <t>Probability of positive in HPV-LA test (high-risk) in no-HSIL patients</t>
  </si>
  <si>
    <t>p_hpvhrhc_p___hsil</t>
  </si>
  <si>
    <t>Probability of positive in HPV-HC test (high-risk) in HSIL patients</t>
  </si>
  <si>
    <t>p_hpvhrhc_p___no_hsil</t>
  </si>
  <si>
    <t>Probability of positive in HPV-HC test (high-risk) in no-HSIL patients</t>
  </si>
  <si>
    <t>p_hra_hsil___cyto_hsil__hsil</t>
  </si>
  <si>
    <t>ELAVI [134/157]</t>
  </si>
  <si>
    <t>Probability of HSIL in HRA in HSIL patients that got HSIL in cytology</t>
  </si>
  <si>
    <t>p_hra_hsil___cyto_hsil__no_hsil</t>
  </si>
  <si>
    <t>ELAVI [0/197] (=0?)</t>
  </si>
  <si>
    <t>Probability of HSIL in HRA in HSIL patients that got no-HSIL in cytology</t>
  </si>
  <si>
    <t>p_hra_hsil___cyto_no_hsil__hsil</t>
  </si>
  <si>
    <t>p_hra_hsil___cyto_no_hsil__no_hsil</t>
  </si>
  <si>
    <t>ELAVI [0/197]</t>
  </si>
  <si>
    <t>p_hra_invasive_cancer___cyto_hsil__hsil</t>
  </si>
  <si>
    <t>p_hra_invasive_cancer___cyto_hsil__no_hsil</t>
  </si>
  <si>
    <t>Probability of invasive cancer in HRA in no-HSIL patients that got HSIL in cytology</t>
  </si>
  <si>
    <t>p_hra_invasive_cancer___cyto_no_hsil__hsil</t>
  </si>
  <si>
    <t>p_hra_invasive_cancer___cyto_no_hsil__no_hsil</t>
  </si>
  <si>
    <t>p_hsil_regression___undetected_hsil</t>
  </si>
  <si>
    <t>p_hsil_regression___semestral_followup_hsil</t>
  </si>
  <si>
    <t>p_hsil_regression___semestral_followup_hsil_irc</t>
  </si>
  <si>
    <t>p_hsil_regression___semestral_followup_hsil_tca</t>
  </si>
  <si>
    <t>p_hsil_regression_annual</t>
  </si>
  <si>
    <t>Probability of HSIL regression (annual)</t>
  </si>
  <si>
    <t>p_hsil___semestral_followup_no_hsil</t>
  </si>
  <si>
    <t>p_hsil___semestral_followup_no_hsil_treatment</t>
  </si>
  <si>
    <t>IRC relevant?</t>
  </si>
  <si>
    <t>p_undetected_hsil</t>
  </si>
  <si>
    <t>p_hsil_annual</t>
  </si>
  <si>
    <t>Probability of developing HSIL (annual)</t>
  </si>
  <si>
    <t>p_undetected_hsil_treatment</t>
  </si>
  <si>
    <t>p_undetected_hsil_treatment_whole_followup</t>
  </si>
  <si>
    <t>Recurrencia HSIL tras tto con electrocauterización (media de seguimiento de 17.5 años): 35% (Burgos J DOI:10.1097/QAD.0000000000001433)</t>
  </si>
  <si>
    <t>Probability of ???</t>
  </si>
  <si>
    <t>p_recurrence</t>
  </si>
  <si>
    <t>p_recurrence_annual</t>
  </si>
  <si>
    <t>???</t>
  </si>
  <si>
    <t>Probability of recurrence (annual)</t>
  </si>
  <si>
    <t>p_survive</t>
  </si>
  <si>
    <t>-</t>
  </si>
  <si>
    <t>survival_5year</t>
  </si>
  <si>
    <t>Adjusted values from SEER data (see survival_calculations.xlsx)</t>
  </si>
  <si>
    <t>Survival rate of AC (5-year)</t>
  </si>
  <si>
    <t>hr_cancer_irc</t>
  </si>
  <si>
    <t>Assuming IRC does not prevent cancer</t>
  </si>
  <si>
    <t>hr_cancer_tca</t>
  </si>
  <si>
    <t>Assuming TCA does not prevent cancer</t>
  </si>
  <si>
    <t>p_no_hsil___hsil_irc</t>
  </si>
  <si>
    <t>Goldstone CID 2019</t>
  </si>
  <si>
    <t>Probability of success in IRC for HSIL patients</t>
  </si>
  <si>
    <t>p_no_hsil___hsil_tca</t>
  </si>
  <si>
    <t>Probability of success in TCA for HSIL patients</t>
  </si>
  <si>
    <t>hr_hsil_irc</t>
  </si>
  <si>
    <t>Assuming previous IRC does not prevent future HSILs</t>
  </si>
  <si>
    <t>u_hiv_p</t>
  </si>
  <si>
    <t>Utility [HIV+ MSM]</t>
  </si>
  <si>
    <t>u_hiv_p___irc</t>
  </si>
  <si>
    <t>Assuming IRC does not affect utility</t>
  </si>
  <si>
    <t>u_hiv_p___tca</t>
  </si>
  <si>
    <t>Assuming TCA does not affect utility</t>
  </si>
  <si>
    <t>u_hsil</t>
  </si>
  <si>
    <t>u_hsil___irc</t>
  </si>
  <si>
    <t>Utility [HSIL+IRC]</t>
  </si>
  <si>
    <t>u_hsil___tca</t>
  </si>
  <si>
    <t>u_cancer</t>
  </si>
  <si>
    <t>Utility [Anal cancer]</t>
  </si>
  <si>
    <t>u_sem_followup1</t>
  </si>
  <si>
    <t>Assuming HSIL</t>
  </si>
  <si>
    <t>u_sem_followup2</t>
  </si>
  <si>
    <t>u_surgery_no_cancer</t>
  </si>
  <si>
    <t>Utility [Surgery no cancer]</t>
  </si>
  <si>
    <t>u_survive</t>
  </si>
  <si>
    <t>Võrno 2017</t>
  </si>
  <si>
    <t>Utility [Survivor]</t>
  </si>
  <si>
    <t>periodicity_times_in_year</t>
  </si>
  <si>
    <t>Number of iterations per year in simulation</t>
  </si>
  <si>
    <t>periodicity_months</t>
  </si>
  <si>
    <t>Number of months after each simulation (period)</t>
  </si>
  <si>
    <t>Periodicity</t>
  </si>
  <si>
    <t>Previously: 0.001908 ELAVI [1/131] (small n?) (applying factor to match target annual incidence of ~85; 7.5 -&gt; 4)</t>
  </si>
  <si>
    <t>p_cancer___undetected_hsil</t>
  </si>
  <si>
    <t>Previously: 0.001908 ELAVI [1/131] (small n?) (applying factor to match target annual incidence of ~85; 7.5 -&gt; 4), higher than opportunistic detection</t>
  </si>
  <si>
    <t>Probability of invasive cancer in HRA in HSIL patients that got HSIL in cytology</t>
  </si>
  <si>
    <t>u_cancer_delayed</t>
  </si>
  <si>
    <t>Utility [Anal cancer (delayed)]</t>
  </si>
  <si>
    <t>p_death_cancer_delayed</t>
  </si>
  <si>
    <t>(see utility_comparison.xlsx)</t>
  </si>
  <si>
    <t>Assuming multiplier (table 29 Czosky-Murray 2010)</t>
  </si>
  <si>
    <t>c_surgery_delayed</t>
  </si>
  <si>
    <t>Assumption (=c_surgery, 0, 100, ...)</t>
  </si>
  <si>
    <t>Cost of delayed cancer treatment</t>
  </si>
  <si>
    <t>Utility [HIV+ MSM (IRC)]</t>
  </si>
  <si>
    <t>Utility [HIV+ MSM (TCA)]</t>
  </si>
  <si>
    <t>Utility [HSIL+TCA]</t>
  </si>
  <si>
    <t>p_cd4_l200</t>
  </si>
  <si>
    <t>p_cd4_200_500</t>
  </si>
  <si>
    <t>p_cd4_g500</t>
  </si>
  <si>
    <t>Proportion of HIV+ with CD4 &lt; 200</t>
  </si>
  <si>
    <t>Proportion of HIV+ with CD4 between 200-500</t>
  </si>
  <si>
    <t>Proportion of HIV+ with CD4 &gt; 500</t>
  </si>
  <si>
    <t>Deshmuk 2015</t>
  </si>
  <si>
    <t>Deshmuk 2015 (weighted average, see utility_comparison.xlsx)</t>
  </si>
  <si>
    <t>u_hiv_p_cd4_l200</t>
  </si>
  <si>
    <t>u_hiv_p_cd4_200_500</t>
  </si>
  <si>
    <t>u_hiv_p_cd4_g500</t>
  </si>
  <si>
    <t>Utility [HIV+ MSM] (CD4 &lt; 200)</t>
  </si>
  <si>
    <t>Utility [HIV+ MSM] (CD4 200-500)</t>
  </si>
  <si>
    <t>Utility [HIV+ MSM] (CD4 &gt; 500)</t>
  </si>
  <si>
    <t>p_hsil_annual___cd4_l200</t>
  </si>
  <si>
    <t>p_hsil_annual___cd4_200_500</t>
  </si>
  <si>
    <t>p_hsil_annual___cd4_g500</t>
  </si>
  <si>
    <t>Probability of developing HSIL (annual, CD4 &lt; 200)</t>
  </si>
  <si>
    <t>Probability of developing HSIL (annual, CD4 200-500)</t>
  </si>
  <si>
    <t>Probability of developing HSIL (annual, CD4 &gt;500)</t>
  </si>
  <si>
    <t>HATRIC</t>
  </si>
  <si>
    <t>Calibrated</t>
  </si>
  <si>
    <t>Mortality rate from other causes per 100,000</t>
  </si>
  <si>
    <t>hr_other_death_hiv_p</t>
  </si>
  <si>
    <t>Fontela 2020</t>
  </si>
  <si>
    <t>HR mortality rate from other causes for HIV+</t>
  </si>
  <si>
    <t>ELAVI</t>
  </si>
  <si>
    <t>INE mortality rates, Spanish men in 2023 (see mortality_other.xlsx)</t>
  </si>
  <si>
    <t>Deshmuk 2015 [Normal to HGAIN] (see deshmuk_calculations.xlsx) [0.054200565 before calibration]</t>
  </si>
  <si>
    <t>rate_death_other_annual</t>
  </si>
  <si>
    <t>Previously: 0.007634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</si>
</sst>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1"/>
      <name val="Calibri"/>
      <family val="2"/>
      <charset val="1"/>
    </font>
    <font>
      <b/>
      <sz val="1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C55A11"/>
        <bgColor rgb="FF993300"/>
      </patternFill>
    </fill>
    <fill>
      <patternFill patternType="solid">
        <fgColor rgb="FF00B0F0"/>
        <bgColor rgb="FF33CCCC"/>
      </patternFill>
    </fill>
    <fill>
      <patternFill patternType="solid">
        <fgColor rgb="FFA9D18E"/>
        <bgColor rgb="FF99CCFF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rgb="FF9933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tabSelected="1" topLeftCell="A15" zoomScaleNormal="100" workbookViewId="0">
      <selection activeCell="A22" sqref="A22"/>
    </sheetView>
  </sheetViews>
  <sheetFormatPr baseColWidth="10" defaultColWidth="10.81640625" defaultRowHeight="12.5" x14ac:dyDescent="0.25"/>
  <cols>
    <col min="1" max="1" width="46.1796875" customWidth="1"/>
    <col min="2" max="2" width="12.90625" customWidth="1"/>
    <col min="3" max="3" width="7.453125" customWidth="1"/>
    <col min="4" max="4" width="6.7265625" customWidth="1"/>
    <col min="5" max="5" width="120.81640625" bestFit="1" customWidth="1"/>
    <col min="6" max="6" width="87.54296875" customWidth="1"/>
  </cols>
  <sheetData>
    <row r="1" spans="1: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t="s">
        <v>6</v>
      </c>
      <c r="B2">
        <v>10.71</v>
      </c>
      <c r="C2">
        <v>-1</v>
      </c>
      <c r="D2">
        <v>-1</v>
      </c>
      <c r="E2" t="s">
        <v>7</v>
      </c>
      <c r="F2" t="s">
        <v>8</v>
      </c>
    </row>
    <row r="3" spans="1:6" x14ac:dyDescent="0.25">
      <c r="A3" t="s">
        <v>9</v>
      </c>
      <c r="B3">
        <f>B6+0.67</f>
        <v>6.67</v>
      </c>
      <c r="C3">
        <v>-1</v>
      </c>
      <c r="D3">
        <v>-1</v>
      </c>
      <c r="E3" t="s">
        <v>10</v>
      </c>
    </row>
    <row r="4" spans="1:6" x14ac:dyDescent="0.25">
      <c r="A4" t="s">
        <v>11</v>
      </c>
      <c r="B4">
        <f>B6+0.67</f>
        <v>6.67</v>
      </c>
      <c r="C4">
        <v>-1</v>
      </c>
      <c r="D4">
        <v>-1</v>
      </c>
      <c r="E4" t="s">
        <v>10</v>
      </c>
    </row>
    <row r="5" spans="1:6" x14ac:dyDescent="0.25">
      <c r="A5" t="s">
        <v>12</v>
      </c>
      <c r="B5">
        <f>B6+0.67</f>
        <v>6.67</v>
      </c>
      <c r="C5">
        <v>-1</v>
      </c>
      <c r="D5">
        <v>-1</v>
      </c>
      <c r="E5" t="s">
        <v>10</v>
      </c>
    </row>
    <row r="6" spans="1:6" x14ac:dyDescent="0.25">
      <c r="A6" t="s">
        <v>13</v>
      </c>
      <c r="B6">
        <v>6</v>
      </c>
      <c r="C6">
        <v>-1</v>
      </c>
      <c r="D6">
        <v>-1</v>
      </c>
      <c r="E6" t="s">
        <v>14</v>
      </c>
      <c r="F6" t="s">
        <v>15</v>
      </c>
    </row>
    <row r="7" spans="1:6" x14ac:dyDescent="0.25">
      <c r="A7" t="s">
        <v>16</v>
      </c>
      <c r="B7">
        <f>B10</f>
        <v>71.25</v>
      </c>
      <c r="C7">
        <v>-1</v>
      </c>
      <c r="D7">
        <v>-1</v>
      </c>
    </row>
    <row r="8" spans="1:6" x14ac:dyDescent="0.25">
      <c r="A8" t="s">
        <v>17</v>
      </c>
      <c r="B8">
        <f>B10</f>
        <v>71.25</v>
      </c>
      <c r="C8">
        <v>-1</v>
      </c>
      <c r="D8">
        <v>-1</v>
      </c>
    </row>
    <row r="9" spans="1:6" x14ac:dyDescent="0.25">
      <c r="A9" t="s">
        <v>18</v>
      </c>
      <c r="B9">
        <f>B10</f>
        <v>71.25</v>
      </c>
      <c r="C9">
        <v>-1</v>
      </c>
      <c r="D9">
        <v>-1</v>
      </c>
    </row>
    <row r="10" spans="1:6" x14ac:dyDescent="0.25">
      <c r="A10" t="s">
        <v>19</v>
      </c>
      <c r="B10">
        <v>71.25</v>
      </c>
      <c r="C10">
        <v>-1</v>
      </c>
      <c r="D10">
        <v>-1</v>
      </c>
      <c r="F10" t="s">
        <v>20</v>
      </c>
    </row>
    <row r="11" spans="1:6" x14ac:dyDescent="0.25">
      <c r="A11" t="s">
        <v>21</v>
      </c>
      <c r="B11">
        <v>20.02</v>
      </c>
      <c r="C11">
        <v>-1</v>
      </c>
      <c r="D11">
        <v>-1</v>
      </c>
      <c r="F11" t="s">
        <v>22</v>
      </c>
    </row>
    <row r="12" spans="1:6" x14ac:dyDescent="0.25">
      <c r="A12" t="s">
        <v>23</v>
      </c>
      <c r="B12" s="9">
        <v>0</v>
      </c>
      <c r="C12">
        <v>-1</v>
      </c>
      <c r="D12">
        <v>-1</v>
      </c>
      <c r="F12" t="s">
        <v>24</v>
      </c>
    </row>
    <row r="13" spans="1:6" x14ac:dyDescent="0.25">
      <c r="A13" t="s">
        <v>25</v>
      </c>
      <c r="B13">
        <f>B12+B19</f>
        <v>31.6</v>
      </c>
      <c r="C13">
        <v>-1</v>
      </c>
      <c r="D13">
        <v>-1</v>
      </c>
      <c r="E13" t="s">
        <v>26</v>
      </c>
    </row>
    <row r="14" spans="1:6" x14ac:dyDescent="0.25">
      <c r="A14" t="s">
        <v>27</v>
      </c>
      <c r="B14">
        <f>B12+B18</f>
        <v>103.70528</v>
      </c>
      <c r="C14">
        <v>-1</v>
      </c>
      <c r="D14">
        <v>-1</v>
      </c>
    </row>
    <row r="15" spans="1:6" x14ac:dyDescent="0.25">
      <c r="A15" t="s">
        <v>28</v>
      </c>
      <c r="B15" s="4">
        <v>82.05</v>
      </c>
      <c r="C15">
        <v>-1</v>
      </c>
      <c r="D15">
        <v>-1</v>
      </c>
      <c r="E15" t="s">
        <v>29</v>
      </c>
      <c r="F15" t="s">
        <v>30</v>
      </c>
    </row>
    <row r="16" spans="1:6" x14ac:dyDescent="0.25">
      <c r="A16" t="s">
        <v>31</v>
      </c>
      <c r="B16" s="4">
        <v>30.56</v>
      </c>
      <c r="C16">
        <v>-1</v>
      </c>
      <c r="D16">
        <v>-1</v>
      </c>
      <c r="E16" t="s">
        <v>29</v>
      </c>
      <c r="F16" t="s">
        <v>32</v>
      </c>
    </row>
    <row r="17" spans="1:6" x14ac:dyDescent="0.25">
      <c r="A17" t="s">
        <v>33</v>
      </c>
      <c r="B17" s="4">
        <v>75.040000000000006</v>
      </c>
      <c r="C17">
        <v>-1</v>
      </c>
      <c r="D17">
        <v>-1</v>
      </c>
      <c r="E17" t="s">
        <v>7</v>
      </c>
      <c r="F17" t="s">
        <v>34</v>
      </c>
    </row>
    <row r="18" spans="1:6" x14ac:dyDescent="0.25">
      <c r="A18" t="s">
        <v>35</v>
      </c>
      <c r="B18">
        <f>B17*B22</f>
        <v>103.70528</v>
      </c>
      <c r="C18">
        <v>-1</v>
      </c>
      <c r="D18">
        <v>-1</v>
      </c>
    </row>
    <row r="19" spans="1:6" x14ac:dyDescent="0.25">
      <c r="A19" t="s">
        <v>36</v>
      </c>
      <c r="B19">
        <v>31.6</v>
      </c>
      <c r="C19">
        <v>-1</v>
      </c>
      <c r="D19">
        <v>-1</v>
      </c>
      <c r="E19" t="s">
        <v>7</v>
      </c>
      <c r="F19" t="s">
        <v>37</v>
      </c>
    </row>
    <row r="20" spans="1:6" x14ac:dyDescent="0.25">
      <c r="A20" t="s">
        <v>38</v>
      </c>
      <c r="B20">
        <v>3189</v>
      </c>
      <c r="C20">
        <v>-1</v>
      </c>
      <c r="D20">
        <v>-1</v>
      </c>
      <c r="E20" t="s">
        <v>39</v>
      </c>
      <c r="F20" t="s">
        <v>40</v>
      </c>
    </row>
    <row r="21" spans="1:6" x14ac:dyDescent="0.25">
      <c r="A21" t="s">
        <v>188</v>
      </c>
      <c r="B21">
        <v>3189</v>
      </c>
      <c r="C21">
        <v>-1</v>
      </c>
      <c r="D21">
        <v>-1</v>
      </c>
      <c r="E21" t="s">
        <v>189</v>
      </c>
      <c r="F21" t="s">
        <v>190</v>
      </c>
    </row>
    <row r="22" spans="1:6" x14ac:dyDescent="0.25">
      <c r="A22" t="s">
        <v>41</v>
      </c>
      <c r="B22" s="4">
        <v>1.3819999999999999</v>
      </c>
      <c r="C22">
        <v>-1</v>
      </c>
      <c r="D22">
        <v>-1</v>
      </c>
      <c r="E22" t="s">
        <v>42</v>
      </c>
      <c r="F22" t="s">
        <v>43</v>
      </c>
    </row>
    <row r="23" spans="1:6" x14ac:dyDescent="0.25">
      <c r="A23" t="s">
        <v>44</v>
      </c>
      <c r="B23" s="11">
        <v>1</v>
      </c>
      <c r="C23">
        <v>-1</v>
      </c>
      <c r="D23">
        <v>-1</v>
      </c>
      <c r="E23" t="s">
        <v>45</v>
      </c>
      <c r="F23" t="s">
        <v>46</v>
      </c>
    </row>
    <row r="24" spans="1:6" x14ac:dyDescent="0.25">
      <c r="A24" t="s">
        <v>47</v>
      </c>
      <c r="B24">
        <f>1-(1-B26)^(1/$B$102)</f>
        <v>2.0120241205308087E-3</v>
      </c>
      <c r="C24">
        <v>-1</v>
      </c>
      <c r="D24">
        <v>-1</v>
      </c>
    </row>
    <row r="25" spans="1:6" x14ac:dyDescent="0.25">
      <c r="A25" s="8" t="s">
        <v>180</v>
      </c>
      <c r="B25" s="8">
        <f>B24</f>
        <v>2.0120241205308087E-3</v>
      </c>
      <c r="C25">
        <v>-1</v>
      </c>
      <c r="D25">
        <v>-1</v>
      </c>
      <c r="E25">
        <v>1.908E-3</v>
      </c>
    </row>
    <row r="26" spans="1:6" x14ac:dyDescent="0.25">
      <c r="A26" t="s">
        <v>48</v>
      </c>
      <c r="B26">
        <v>4.0200000000000001E-3</v>
      </c>
      <c r="C26">
        <v>-1</v>
      </c>
      <c r="D26">
        <v>-1</v>
      </c>
      <c r="E26" t="s">
        <v>224</v>
      </c>
      <c r="F26" t="s">
        <v>49</v>
      </c>
    </row>
    <row r="27" spans="1:6" x14ac:dyDescent="0.25">
      <c r="A27" t="s">
        <v>50</v>
      </c>
      <c r="B27">
        <v>0.40129999999999999</v>
      </c>
      <c r="C27">
        <v>-1</v>
      </c>
      <c r="D27">
        <v>-1</v>
      </c>
      <c r="E27" t="s">
        <v>51</v>
      </c>
      <c r="F27" t="s">
        <v>52</v>
      </c>
    </row>
    <row r="28" spans="1:6" x14ac:dyDescent="0.25">
      <c r="A28" t="s">
        <v>53</v>
      </c>
      <c r="B28">
        <v>0.2792</v>
      </c>
      <c r="C28">
        <v>-1</v>
      </c>
      <c r="D28">
        <v>-1</v>
      </c>
      <c r="E28" t="s">
        <v>54</v>
      </c>
      <c r="F28" t="s">
        <v>55</v>
      </c>
    </row>
    <row r="29" spans="1:6" x14ac:dyDescent="0.25">
      <c r="A29" t="s">
        <v>56</v>
      </c>
      <c r="B29">
        <v>0.27389999999999998</v>
      </c>
      <c r="C29">
        <v>-1</v>
      </c>
      <c r="D29">
        <v>-1</v>
      </c>
      <c r="E29" t="s">
        <v>57</v>
      </c>
      <c r="F29" t="s">
        <v>58</v>
      </c>
    </row>
    <row r="30" spans="1:6" x14ac:dyDescent="0.25">
      <c r="A30" t="s">
        <v>59</v>
      </c>
      <c r="B30">
        <v>0.64470000000000005</v>
      </c>
      <c r="C30">
        <v>-1</v>
      </c>
      <c r="D30">
        <v>-1</v>
      </c>
      <c r="E30" t="s">
        <v>60</v>
      </c>
      <c r="F30" t="s">
        <v>61</v>
      </c>
    </row>
    <row r="31" spans="1:6" x14ac:dyDescent="0.25">
      <c r="A31" t="s">
        <v>62</v>
      </c>
      <c r="B31">
        <v>0.30570000000000003</v>
      </c>
      <c r="C31">
        <v>-1</v>
      </c>
      <c r="D31">
        <v>-1</v>
      </c>
      <c r="E31" t="s">
        <v>63</v>
      </c>
      <c r="F31" t="s">
        <v>64</v>
      </c>
    </row>
    <row r="32" spans="1:6" x14ac:dyDescent="0.25">
      <c r="A32" t="s">
        <v>65</v>
      </c>
      <c r="B32">
        <v>2.5399999999999999E-2</v>
      </c>
      <c r="C32">
        <v>-1</v>
      </c>
      <c r="D32">
        <v>-1</v>
      </c>
      <c r="E32" t="s">
        <v>66</v>
      </c>
      <c r="F32" t="s">
        <v>67</v>
      </c>
    </row>
    <row r="33" spans="1:6" x14ac:dyDescent="0.25">
      <c r="A33" t="s">
        <v>68</v>
      </c>
      <c r="B33">
        <f>1-(1-EXP(-B81*5))^(1/$B$102)</f>
        <v>1.1828833579935472E-2</v>
      </c>
      <c r="C33">
        <v>-1</v>
      </c>
      <c r="D33">
        <v>-1</v>
      </c>
    </row>
    <row r="34" spans="1:6" x14ac:dyDescent="0.25">
      <c r="A34" t="s">
        <v>185</v>
      </c>
      <c r="B34">
        <f>B33</f>
        <v>1.1828833579935472E-2</v>
      </c>
      <c r="C34">
        <v>-1</v>
      </c>
      <c r="D34">
        <v>-1</v>
      </c>
    </row>
    <row r="35" spans="1:6" x14ac:dyDescent="0.25">
      <c r="A35" t="s">
        <v>69</v>
      </c>
      <c r="B35">
        <f>1-(1-B36)^(1/$B$102)</f>
        <v>9.0253613903279462E-4</v>
      </c>
      <c r="C35">
        <v>-1</v>
      </c>
      <c r="D35">
        <v>-1</v>
      </c>
    </row>
    <row r="36" spans="1:6" x14ac:dyDescent="0.25">
      <c r="A36" t="s">
        <v>70</v>
      </c>
      <c r="B36">
        <f>1-EXP(-B38*B37/1000)</f>
        <v>1.8042577065833232E-3</v>
      </c>
      <c r="C36">
        <v>-1</v>
      </c>
      <c r="D36">
        <v>-1</v>
      </c>
      <c r="E36" t="s">
        <v>71</v>
      </c>
      <c r="F36" t="s">
        <v>72</v>
      </c>
    </row>
    <row r="37" spans="1:6" x14ac:dyDescent="0.25">
      <c r="A37" t="s">
        <v>223</v>
      </c>
      <c r="B37">
        <v>0.41997380000000001</v>
      </c>
      <c r="C37">
        <v>-1</v>
      </c>
      <c r="D37">
        <v>-1</v>
      </c>
      <c r="E37" t="s">
        <v>221</v>
      </c>
      <c r="F37" t="s">
        <v>216</v>
      </c>
    </row>
    <row r="38" spans="1:6" x14ac:dyDescent="0.25">
      <c r="A38" t="s">
        <v>217</v>
      </c>
      <c r="B38">
        <v>4.3</v>
      </c>
      <c r="C38">
        <v>-1</v>
      </c>
      <c r="D38">
        <v>-1</v>
      </c>
      <c r="E38" t="s">
        <v>218</v>
      </c>
      <c r="F38" t="s">
        <v>219</v>
      </c>
    </row>
    <row r="39" spans="1:6" x14ac:dyDescent="0.25">
      <c r="A39" t="s">
        <v>73</v>
      </c>
      <c r="B39">
        <v>0.38600000000000001</v>
      </c>
      <c r="C39">
        <v>-1</v>
      </c>
      <c r="D39">
        <v>-1</v>
      </c>
      <c r="E39" t="s">
        <v>74</v>
      </c>
      <c r="F39" t="s">
        <v>75</v>
      </c>
    </row>
    <row r="40" spans="1:6" x14ac:dyDescent="0.25">
      <c r="A40" t="s">
        <v>76</v>
      </c>
      <c r="B40">
        <v>0.106</v>
      </c>
      <c r="C40">
        <v>-1</v>
      </c>
      <c r="D40">
        <v>-1</v>
      </c>
      <c r="E40" t="s">
        <v>74</v>
      </c>
      <c r="F40" t="s">
        <v>77</v>
      </c>
    </row>
    <row r="41" spans="1:6" x14ac:dyDescent="0.25">
      <c r="A41" t="s">
        <v>78</v>
      </c>
      <c r="B41">
        <v>0.42899999999999999</v>
      </c>
      <c r="C41">
        <v>-1</v>
      </c>
      <c r="D41">
        <v>-1</v>
      </c>
      <c r="E41" t="s">
        <v>79</v>
      </c>
      <c r="F41" t="s">
        <v>80</v>
      </c>
    </row>
    <row r="42" spans="1:6" x14ac:dyDescent="0.25">
      <c r="A42" t="s">
        <v>81</v>
      </c>
      <c r="B42">
        <v>0.13700000000000001</v>
      </c>
      <c r="C42">
        <v>-1</v>
      </c>
      <c r="D42">
        <v>-1</v>
      </c>
      <c r="E42" t="s">
        <v>79</v>
      </c>
      <c r="F42" t="s">
        <v>82</v>
      </c>
    </row>
    <row r="43" spans="1:6" x14ac:dyDescent="0.25">
      <c r="A43" t="s">
        <v>83</v>
      </c>
      <c r="B43">
        <v>0.78600000000000003</v>
      </c>
      <c r="C43">
        <v>-1</v>
      </c>
      <c r="D43">
        <v>-1</v>
      </c>
      <c r="E43" t="s">
        <v>74</v>
      </c>
      <c r="F43" t="s">
        <v>84</v>
      </c>
    </row>
    <row r="44" spans="1:6" x14ac:dyDescent="0.25">
      <c r="A44" t="s">
        <v>85</v>
      </c>
      <c r="B44">
        <v>0.42599999999999999</v>
      </c>
      <c r="C44">
        <v>-1</v>
      </c>
      <c r="D44">
        <v>-1</v>
      </c>
      <c r="E44" t="s">
        <v>74</v>
      </c>
      <c r="F44" t="s">
        <v>86</v>
      </c>
    </row>
    <row r="45" spans="1:6" x14ac:dyDescent="0.25">
      <c r="A45" t="s">
        <v>87</v>
      </c>
      <c r="B45">
        <v>0.47099999999999997</v>
      </c>
      <c r="C45">
        <v>-1</v>
      </c>
      <c r="D45">
        <v>-1</v>
      </c>
      <c r="E45" t="s">
        <v>74</v>
      </c>
      <c r="F45" t="s">
        <v>88</v>
      </c>
    </row>
    <row r="46" spans="1:6" x14ac:dyDescent="0.25">
      <c r="A46" t="s">
        <v>89</v>
      </c>
      <c r="B46">
        <v>0.17299999999999999</v>
      </c>
      <c r="C46">
        <v>-1</v>
      </c>
      <c r="D46">
        <v>-1</v>
      </c>
      <c r="E46" t="s">
        <v>74</v>
      </c>
      <c r="F46" t="s">
        <v>90</v>
      </c>
    </row>
    <row r="47" spans="1:6" x14ac:dyDescent="0.25">
      <c r="A47" t="s">
        <v>91</v>
      </c>
      <c r="B47">
        <v>0.54900000000000004</v>
      </c>
      <c r="C47">
        <v>-1</v>
      </c>
      <c r="D47">
        <v>-1</v>
      </c>
      <c r="E47" t="s">
        <v>79</v>
      </c>
      <c r="F47" t="s">
        <v>92</v>
      </c>
    </row>
    <row r="48" spans="1:6" x14ac:dyDescent="0.25">
      <c r="A48" t="s">
        <v>93</v>
      </c>
      <c r="B48">
        <v>0.29399999999999998</v>
      </c>
      <c r="C48">
        <v>-1</v>
      </c>
      <c r="D48">
        <v>-1</v>
      </c>
      <c r="E48" t="s">
        <v>79</v>
      </c>
      <c r="F48" t="s">
        <v>94</v>
      </c>
    </row>
    <row r="49" spans="1:6" x14ac:dyDescent="0.25">
      <c r="A49" t="s">
        <v>95</v>
      </c>
      <c r="B49">
        <v>0.94</v>
      </c>
      <c r="C49">
        <v>-1</v>
      </c>
      <c r="D49">
        <v>-1</v>
      </c>
      <c r="E49" t="s">
        <v>96</v>
      </c>
      <c r="F49" t="s">
        <v>97</v>
      </c>
    </row>
    <row r="50" spans="1:6" x14ac:dyDescent="0.25">
      <c r="A50" t="s">
        <v>98</v>
      </c>
      <c r="B50">
        <v>0.65700000000000003</v>
      </c>
      <c r="C50">
        <v>-1</v>
      </c>
      <c r="D50">
        <v>-1</v>
      </c>
      <c r="E50" t="s">
        <v>74</v>
      </c>
      <c r="F50" t="s">
        <v>99</v>
      </c>
    </row>
    <row r="51" spans="1:6" x14ac:dyDescent="0.25">
      <c r="A51" t="s">
        <v>100</v>
      </c>
      <c r="B51">
        <v>0.75700000000000001</v>
      </c>
      <c r="C51">
        <v>-1</v>
      </c>
      <c r="D51">
        <v>-1</v>
      </c>
      <c r="E51" t="s">
        <v>74</v>
      </c>
      <c r="F51" t="s">
        <v>101</v>
      </c>
    </row>
    <row r="52" spans="1:6" x14ac:dyDescent="0.25">
      <c r="A52" t="s">
        <v>102</v>
      </c>
      <c r="B52">
        <v>0.34499999999999997</v>
      </c>
      <c r="C52">
        <v>-1</v>
      </c>
      <c r="D52">
        <v>-1</v>
      </c>
      <c r="E52" t="s">
        <v>74</v>
      </c>
      <c r="F52" t="s">
        <v>103</v>
      </c>
    </row>
    <row r="53" spans="1:6" x14ac:dyDescent="0.25">
      <c r="A53" t="s">
        <v>104</v>
      </c>
      <c r="B53">
        <v>0.85350000000000004</v>
      </c>
      <c r="C53">
        <v>-1</v>
      </c>
      <c r="D53">
        <v>-1</v>
      </c>
      <c r="E53" t="s">
        <v>105</v>
      </c>
      <c r="F53" t="s">
        <v>106</v>
      </c>
    </row>
    <row r="54" spans="1:6" x14ac:dyDescent="0.25">
      <c r="A54" t="s">
        <v>107</v>
      </c>
      <c r="B54" s="10">
        <v>0</v>
      </c>
      <c r="C54">
        <v>-1</v>
      </c>
      <c r="D54">
        <v>-1</v>
      </c>
      <c r="E54" t="s">
        <v>108</v>
      </c>
      <c r="F54" t="s">
        <v>109</v>
      </c>
    </row>
    <row r="55" spans="1:6" x14ac:dyDescent="0.25">
      <c r="A55" t="s">
        <v>110</v>
      </c>
      <c r="B55">
        <f>B53</f>
        <v>0.85350000000000004</v>
      </c>
      <c r="C55">
        <v>-1</v>
      </c>
      <c r="D55">
        <v>-1</v>
      </c>
      <c r="E55" t="s">
        <v>105</v>
      </c>
    </row>
    <row r="56" spans="1:6" x14ac:dyDescent="0.25">
      <c r="A56" t="s">
        <v>111</v>
      </c>
      <c r="B56" s="10">
        <f>B54</f>
        <v>0</v>
      </c>
      <c r="C56">
        <v>-1</v>
      </c>
      <c r="D56">
        <v>-1</v>
      </c>
      <c r="E56" t="s">
        <v>112</v>
      </c>
    </row>
    <row r="57" spans="1:6" x14ac:dyDescent="0.25">
      <c r="A57" s="8" t="s">
        <v>113</v>
      </c>
      <c r="B57" s="8">
        <f>B25</f>
        <v>2.0120241205308087E-3</v>
      </c>
      <c r="C57">
        <v>-1</v>
      </c>
      <c r="D57">
        <v>-1</v>
      </c>
      <c r="E57" t="s">
        <v>181</v>
      </c>
      <c r="F57" t="s">
        <v>182</v>
      </c>
    </row>
    <row r="58" spans="1:6" x14ac:dyDescent="0.25">
      <c r="A58" t="s">
        <v>114</v>
      </c>
      <c r="B58" s="10">
        <v>0</v>
      </c>
      <c r="C58">
        <v>-1</v>
      </c>
      <c r="D58">
        <v>-1</v>
      </c>
      <c r="E58" t="s">
        <v>112</v>
      </c>
      <c r="F58" t="s">
        <v>115</v>
      </c>
    </row>
    <row r="59" spans="1:6" x14ac:dyDescent="0.25">
      <c r="A59" t="s">
        <v>116</v>
      </c>
      <c r="B59" s="8">
        <f>B57</f>
        <v>2.0120241205308087E-3</v>
      </c>
      <c r="C59">
        <v>-1</v>
      </c>
      <c r="D59">
        <v>-1</v>
      </c>
      <c r="E59" t="s">
        <v>179</v>
      </c>
    </row>
    <row r="60" spans="1:6" x14ac:dyDescent="0.25">
      <c r="A60" t="s">
        <v>117</v>
      </c>
      <c r="B60" s="10">
        <f>B58</f>
        <v>0</v>
      </c>
      <c r="C60">
        <v>-1</v>
      </c>
      <c r="D60">
        <v>-1</v>
      </c>
      <c r="E60" t="s">
        <v>112</v>
      </c>
    </row>
    <row r="61" spans="1:6" x14ac:dyDescent="0.25">
      <c r="A61" t="s">
        <v>118</v>
      </c>
      <c r="B61">
        <f>1-(1-B65)^(1/$B$102)</f>
        <v>0.16333997346592444</v>
      </c>
      <c r="C61">
        <v>-1</v>
      </c>
      <c r="D61">
        <v>-1</v>
      </c>
    </row>
    <row r="62" spans="1:6" x14ac:dyDescent="0.25">
      <c r="A62" t="s">
        <v>119</v>
      </c>
      <c r="B62">
        <f>B61</f>
        <v>0.16333997346592444</v>
      </c>
      <c r="C62">
        <v>-1</v>
      </c>
      <c r="D62">
        <v>-1</v>
      </c>
    </row>
    <row r="63" spans="1:6" x14ac:dyDescent="0.25">
      <c r="A63" t="s">
        <v>120</v>
      </c>
      <c r="B63">
        <f>B84*(1-B35)</f>
        <v>0.61944042759379969</v>
      </c>
      <c r="C63">
        <v>-1</v>
      </c>
      <c r="D63">
        <v>-1</v>
      </c>
    </row>
    <row r="64" spans="1:6" x14ac:dyDescent="0.25">
      <c r="A64" t="s">
        <v>121</v>
      </c>
      <c r="B64">
        <f>B85*(1-B35)</f>
        <v>0.82425540768529793</v>
      </c>
      <c r="C64">
        <v>-1</v>
      </c>
      <c r="D64">
        <v>-1</v>
      </c>
    </row>
    <row r="65" spans="1:6" x14ac:dyDescent="0.25">
      <c r="A65" t="s">
        <v>122</v>
      </c>
      <c r="B65">
        <v>0.3</v>
      </c>
      <c r="C65">
        <v>-1</v>
      </c>
      <c r="D65">
        <v>-1</v>
      </c>
      <c r="E65" t="s">
        <v>148</v>
      </c>
      <c r="F65" t="s">
        <v>123</v>
      </c>
    </row>
    <row r="66" spans="1:6" x14ac:dyDescent="0.25">
      <c r="A66" t="s">
        <v>124</v>
      </c>
      <c r="B66">
        <f>1-(1-B69)^(1/$B$102)</f>
        <v>2.7477796988675474E-2</v>
      </c>
      <c r="C66">
        <v>-1</v>
      </c>
      <c r="D66">
        <v>-1</v>
      </c>
    </row>
    <row r="67" spans="1:6" x14ac:dyDescent="0.25">
      <c r="A67" t="s">
        <v>125</v>
      </c>
      <c r="B67">
        <f>1-EXP(-(-LOG(B74,EXP(1))/17.5)*1/$B$102)</f>
        <v>2.9549534482222528E-2</v>
      </c>
      <c r="C67">
        <v>-1</v>
      </c>
      <c r="D67">
        <v>-1</v>
      </c>
      <c r="E67" t="s">
        <v>126</v>
      </c>
    </row>
    <row r="68" spans="1:6" x14ac:dyDescent="0.25">
      <c r="A68" t="s">
        <v>127</v>
      </c>
      <c r="B68">
        <f>B66</f>
        <v>2.7477796988675474E-2</v>
      </c>
      <c r="C68">
        <v>-1</v>
      </c>
      <c r="D68">
        <v>-1</v>
      </c>
    </row>
    <row r="69" spans="1:6" x14ac:dyDescent="0.25">
      <c r="A69" t="s">
        <v>128</v>
      </c>
      <c r="B69">
        <f>B78*B70+B79*B71+B80*B72</f>
        <v>5.4200564649999998E-2</v>
      </c>
      <c r="C69">
        <v>-1</v>
      </c>
      <c r="D69">
        <v>-1</v>
      </c>
      <c r="E69" t="s">
        <v>222</v>
      </c>
      <c r="F69" t="s">
        <v>129</v>
      </c>
    </row>
    <row r="70" spans="1:6" x14ac:dyDescent="0.25">
      <c r="A70" t="s">
        <v>208</v>
      </c>
      <c r="B70">
        <v>0.13800000000000001</v>
      </c>
      <c r="C70">
        <v>-1</v>
      </c>
      <c r="D70">
        <v>-1</v>
      </c>
      <c r="E70" t="s">
        <v>200</v>
      </c>
      <c r="F70" t="s">
        <v>211</v>
      </c>
    </row>
    <row r="71" spans="1:6" x14ac:dyDescent="0.25">
      <c r="A71" t="s">
        <v>209</v>
      </c>
      <c r="B71">
        <v>5.2999999999999999E-2</v>
      </c>
      <c r="C71">
        <v>-1</v>
      </c>
      <c r="D71">
        <v>-1</v>
      </c>
      <c r="E71" t="s">
        <v>200</v>
      </c>
      <c r="F71" t="s">
        <v>212</v>
      </c>
    </row>
    <row r="72" spans="1:6" x14ac:dyDescent="0.25">
      <c r="A72" t="s">
        <v>210</v>
      </c>
      <c r="B72">
        <v>5.2999999999999999E-2</v>
      </c>
      <c r="C72">
        <v>-1</v>
      </c>
      <c r="D72">
        <v>-1</v>
      </c>
      <c r="E72" t="s">
        <v>200</v>
      </c>
      <c r="F72" t="s">
        <v>213</v>
      </c>
    </row>
    <row r="73" spans="1:6" x14ac:dyDescent="0.25">
      <c r="A73" t="s">
        <v>130</v>
      </c>
      <c r="B73">
        <f>B67</f>
        <v>2.9549534482222528E-2</v>
      </c>
      <c r="C73">
        <v>-1</v>
      </c>
      <c r="D73">
        <v>-1</v>
      </c>
    </row>
    <row r="74" spans="1:6" x14ac:dyDescent="0.25">
      <c r="A74" t="s">
        <v>131</v>
      </c>
      <c r="B74">
        <v>0.35</v>
      </c>
      <c r="C74">
        <v>-1</v>
      </c>
      <c r="D74">
        <v>-1</v>
      </c>
      <c r="E74" t="s">
        <v>132</v>
      </c>
      <c r="F74" t="s">
        <v>133</v>
      </c>
    </row>
    <row r="75" spans="1:6" x14ac:dyDescent="0.25">
      <c r="A75" t="s">
        <v>134</v>
      </c>
      <c r="B75" s="10">
        <f>1-(1-B76)^(1/$B$102)</f>
        <v>0</v>
      </c>
      <c r="C75">
        <v>-1</v>
      </c>
      <c r="D75">
        <v>-1</v>
      </c>
    </row>
    <row r="76" spans="1:6" x14ac:dyDescent="0.25">
      <c r="A76" t="s">
        <v>135</v>
      </c>
      <c r="B76" s="9">
        <v>0</v>
      </c>
      <c r="C76">
        <v>-1</v>
      </c>
      <c r="D76">
        <v>-1</v>
      </c>
      <c r="E76" t="s">
        <v>136</v>
      </c>
      <c r="F76" t="s">
        <v>137</v>
      </c>
    </row>
    <row r="77" spans="1:6" x14ac:dyDescent="0.25">
      <c r="A77" t="s">
        <v>138</v>
      </c>
      <c r="B77" s="9">
        <v>0</v>
      </c>
      <c r="C77">
        <v>-1</v>
      </c>
      <c r="D77">
        <v>-1</v>
      </c>
      <c r="E77" t="s">
        <v>136</v>
      </c>
      <c r="F77" t="s">
        <v>139</v>
      </c>
    </row>
    <row r="78" spans="1:6" x14ac:dyDescent="0.25">
      <c r="A78" t="s">
        <v>194</v>
      </c>
      <c r="B78">
        <v>1.4124289999999999E-2</v>
      </c>
      <c r="C78">
        <v>-1</v>
      </c>
      <c r="D78">
        <v>-1</v>
      </c>
      <c r="E78" t="s">
        <v>220</v>
      </c>
      <c r="F78" t="s">
        <v>197</v>
      </c>
    </row>
    <row r="79" spans="1:6" x14ac:dyDescent="0.25">
      <c r="A79" t="s">
        <v>195</v>
      </c>
      <c r="B79">
        <v>0.14689266000000001</v>
      </c>
      <c r="C79">
        <v>-1</v>
      </c>
      <c r="D79">
        <v>-1</v>
      </c>
      <c r="E79" t="s">
        <v>220</v>
      </c>
      <c r="F79" t="s">
        <v>198</v>
      </c>
    </row>
    <row r="80" spans="1:6" x14ac:dyDescent="0.25">
      <c r="A80" t="s">
        <v>196</v>
      </c>
      <c r="B80">
        <v>0.83898304999999995</v>
      </c>
      <c r="C80">
        <v>-1</v>
      </c>
      <c r="D80">
        <v>-1</v>
      </c>
      <c r="E80" t="s">
        <v>220</v>
      </c>
      <c r="F80" t="s">
        <v>199</v>
      </c>
    </row>
    <row r="81" spans="1:6" x14ac:dyDescent="0.25">
      <c r="A81" t="s">
        <v>140</v>
      </c>
      <c r="B81">
        <v>0.75</v>
      </c>
      <c r="C81">
        <v>-1</v>
      </c>
      <c r="D81">
        <v>-1</v>
      </c>
      <c r="E81" t="s">
        <v>141</v>
      </c>
      <c r="F81" t="s">
        <v>142</v>
      </c>
    </row>
    <row r="82" spans="1:6" x14ac:dyDescent="0.25">
      <c r="A82" t="s">
        <v>143</v>
      </c>
      <c r="B82" s="10">
        <v>1</v>
      </c>
      <c r="C82">
        <v>-1</v>
      </c>
      <c r="D82">
        <v>-1</v>
      </c>
      <c r="E82" t="s">
        <v>144</v>
      </c>
      <c r="F82" t="s">
        <v>139</v>
      </c>
    </row>
    <row r="83" spans="1:6" x14ac:dyDescent="0.25">
      <c r="A83" t="s">
        <v>145</v>
      </c>
      <c r="B83" s="10">
        <v>1</v>
      </c>
      <c r="C83">
        <v>-1</v>
      </c>
      <c r="D83">
        <v>-1</v>
      </c>
      <c r="E83" t="s">
        <v>146</v>
      </c>
      <c r="F83" t="s">
        <v>139</v>
      </c>
    </row>
    <row r="84" spans="1:6" x14ac:dyDescent="0.25">
      <c r="A84" s="4" t="s">
        <v>147</v>
      </c>
      <c r="B84" s="4">
        <v>0.62</v>
      </c>
      <c r="C84">
        <v>-1</v>
      </c>
      <c r="D84">
        <v>-1</v>
      </c>
      <c r="E84" t="s">
        <v>148</v>
      </c>
      <c r="F84" t="s">
        <v>149</v>
      </c>
    </row>
    <row r="85" spans="1:6" x14ac:dyDescent="0.25">
      <c r="A85" s="4" t="s">
        <v>150</v>
      </c>
      <c r="B85" s="4">
        <v>0.82499999999999996</v>
      </c>
      <c r="C85">
        <v>-1</v>
      </c>
      <c r="D85">
        <v>-1</v>
      </c>
      <c r="E85" t="s">
        <v>214</v>
      </c>
      <c r="F85" t="s">
        <v>151</v>
      </c>
    </row>
    <row r="86" spans="1:6" x14ac:dyDescent="0.25">
      <c r="A86" t="s">
        <v>152</v>
      </c>
      <c r="B86" s="9">
        <v>1</v>
      </c>
      <c r="C86">
        <v>-1</v>
      </c>
      <c r="D86">
        <v>-1</v>
      </c>
      <c r="E86" t="s">
        <v>153</v>
      </c>
      <c r="F86" t="s">
        <v>139</v>
      </c>
    </row>
    <row r="87" spans="1:6" x14ac:dyDescent="0.25">
      <c r="A87" t="s">
        <v>154</v>
      </c>
      <c r="B87">
        <f>B78*B88+B79*B89+B80*B90</f>
        <v>0.92774011319999994</v>
      </c>
      <c r="C87">
        <v>-1</v>
      </c>
      <c r="D87">
        <v>-1</v>
      </c>
      <c r="E87" t="s">
        <v>201</v>
      </c>
      <c r="F87" t="s">
        <v>155</v>
      </c>
    </row>
    <row r="88" spans="1:6" x14ac:dyDescent="0.25">
      <c r="A88" t="s">
        <v>202</v>
      </c>
      <c r="B88">
        <v>0.8</v>
      </c>
      <c r="C88">
        <v>-1</v>
      </c>
      <c r="D88">
        <v>-1</v>
      </c>
      <c r="E88" t="s">
        <v>200</v>
      </c>
      <c r="F88" t="s">
        <v>205</v>
      </c>
    </row>
    <row r="89" spans="1:6" x14ac:dyDescent="0.25">
      <c r="A89" t="s">
        <v>203</v>
      </c>
      <c r="B89">
        <v>0.87</v>
      </c>
      <c r="C89">
        <v>-1</v>
      </c>
      <c r="D89">
        <v>-1</v>
      </c>
      <c r="E89" t="s">
        <v>200</v>
      </c>
      <c r="F89" t="s">
        <v>206</v>
      </c>
    </row>
    <row r="90" spans="1:6" x14ac:dyDescent="0.25">
      <c r="A90" t="s">
        <v>204</v>
      </c>
      <c r="B90">
        <v>0.94</v>
      </c>
      <c r="C90">
        <v>-1</v>
      </c>
      <c r="D90">
        <v>-1</v>
      </c>
      <c r="E90" t="s">
        <v>200</v>
      </c>
      <c r="F90" t="s">
        <v>207</v>
      </c>
    </row>
    <row r="91" spans="1:6" x14ac:dyDescent="0.25">
      <c r="A91" t="s">
        <v>156</v>
      </c>
      <c r="B91" s="3">
        <f>B87-0.005</f>
        <v>0.92274011319999993</v>
      </c>
      <c r="C91">
        <v>0.66</v>
      </c>
      <c r="D91">
        <v>0.86</v>
      </c>
      <c r="E91" t="s">
        <v>157</v>
      </c>
      <c r="F91" t="s">
        <v>191</v>
      </c>
    </row>
    <row r="92" spans="1:6" x14ac:dyDescent="0.25">
      <c r="A92" t="s">
        <v>158</v>
      </c>
      <c r="B92" s="3">
        <f>B87-0.004</f>
        <v>0.92374011319999993</v>
      </c>
      <c r="C92">
        <v>0.66</v>
      </c>
      <c r="D92">
        <v>0.86</v>
      </c>
      <c r="E92" t="s">
        <v>159</v>
      </c>
      <c r="F92" t="s">
        <v>192</v>
      </c>
    </row>
    <row r="93" spans="1:6" x14ac:dyDescent="0.25">
      <c r="A93" t="s">
        <v>160</v>
      </c>
      <c r="B93">
        <f>0.98*B87</f>
        <v>0.90918531093599997</v>
      </c>
      <c r="C93">
        <v>-1</v>
      </c>
      <c r="D93">
        <v>-1</v>
      </c>
      <c r="E93" t="s">
        <v>187</v>
      </c>
    </row>
    <row r="94" spans="1:6" x14ac:dyDescent="0.25">
      <c r="A94" s="5" t="s">
        <v>161</v>
      </c>
      <c r="B94" s="5">
        <f>B87*0.98-0.005</f>
        <v>0.90418531093599996</v>
      </c>
      <c r="C94">
        <v>-1</v>
      </c>
      <c r="D94">
        <v>-1</v>
      </c>
      <c r="E94" t="s">
        <v>157</v>
      </c>
      <c r="F94" t="s">
        <v>162</v>
      </c>
    </row>
    <row r="95" spans="1:6" x14ac:dyDescent="0.25">
      <c r="A95" t="s">
        <v>163</v>
      </c>
      <c r="B95" s="6">
        <f>B87*0.98-0.004</f>
        <v>0.90518531093599996</v>
      </c>
      <c r="C95">
        <v>-1</v>
      </c>
      <c r="D95">
        <v>-1</v>
      </c>
      <c r="E95" t="s">
        <v>159</v>
      </c>
      <c r="F95" t="s">
        <v>193</v>
      </c>
    </row>
    <row r="96" spans="1:6" x14ac:dyDescent="0.25">
      <c r="A96" t="s">
        <v>164</v>
      </c>
      <c r="B96">
        <v>0.57999999999999996</v>
      </c>
      <c r="C96">
        <v>0.5</v>
      </c>
      <c r="D96">
        <v>0.7</v>
      </c>
      <c r="E96" t="s">
        <v>186</v>
      </c>
      <c r="F96" t="s">
        <v>165</v>
      </c>
    </row>
    <row r="97" spans="1:6" x14ac:dyDescent="0.25">
      <c r="A97" t="s">
        <v>183</v>
      </c>
      <c r="B97">
        <v>0.52</v>
      </c>
      <c r="C97">
        <v>-1</v>
      </c>
      <c r="D97">
        <v>-1</v>
      </c>
      <c r="E97" t="s">
        <v>186</v>
      </c>
      <c r="F97" t="s">
        <v>184</v>
      </c>
    </row>
    <row r="98" spans="1:6" x14ac:dyDescent="0.25">
      <c r="A98" t="s">
        <v>166</v>
      </c>
      <c r="B98">
        <f>B93</f>
        <v>0.90918531093599997</v>
      </c>
      <c r="C98">
        <v>-1</v>
      </c>
      <c r="D98">
        <v>-1</v>
      </c>
      <c r="E98" t="s">
        <v>167</v>
      </c>
    </row>
    <row r="99" spans="1:6" x14ac:dyDescent="0.25">
      <c r="A99" t="s">
        <v>168</v>
      </c>
      <c r="B99">
        <f>B93</f>
        <v>0.90918531093599997</v>
      </c>
      <c r="C99">
        <v>-1</v>
      </c>
      <c r="D99">
        <v>-1</v>
      </c>
      <c r="E99" t="s">
        <v>167</v>
      </c>
    </row>
    <row r="100" spans="1:6" x14ac:dyDescent="0.25">
      <c r="A100" t="s">
        <v>169</v>
      </c>
      <c r="B100" s="4">
        <v>0.84</v>
      </c>
      <c r="C100">
        <v>-1</v>
      </c>
      <c r="D100">
        <v>-1</v>
      </c>
      <c r="F100" t="s">
        <v>170</v>
      </c>
    </row>
    <row r="101" spans="1:6" x14ac:dyDescent="0.25">
      <c r="A101" t="s">
        <v>171</v>
      </c>
      <c r="B101" s="3">
        <v>0.84</v>
      </c>
      <c r="C101">
        <v>-1</v>
      </c>
      <c r="D101">
        <v>-1</v>
      </c>
      <c r="E101" t="s">
        <v>172</v>
      </c>
      <c r="F101" t="s">
        <v>173</v>
      </c>
    </row>
    <row r="102" spans="1:6" x14ac:dyDescent="0.25">
      <c r="A102" s="7" t="s">
        <v>174</v>
      </c>
      <c r="B102">
        <v>2</v>
      </c>
      <c r="C102">
        <v>-1</v>
      </c>
      <c r="D102">
        <v>-1</v>
      </c>
      <c r="E102" t="s">
        <v>175</v>
      </c>
    </row>
    <row r="103" spans="1:6" x14ac:dyDescent="0.25">
      <c r="A103" s="7" t="s">
        <v>176</v>
      </c>
      <c r="B103">
        <f>12/B102</f>
        <v>6</v>
      </c>
      <c r="C103">
        <v>-1</v>
      </c>
      <c r="D103">
        <v>-1</v>
      </c>
      <c r="E103" t="s">
        <v>177</v>
      </c>
      <c r="F103" t="s">
        <v>178</v>
      </c>
    </row>
  </sheetData>
  <autoFilter ref="A1:F103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zoomScaleNormal="100" workbookViewId="0">
      <selection activeCell="B4" sqref="B4"/>
    </sheetView>
  </sheetViews>
  <sheetFormatPr baseColWidth="10" defaultColWidth="10.7265625" defaultRowHeight="12.5" x14ac:dyDescent="0.25"/>
  <cols>
    <col min="1" max="1" width="28.453125" customWidth="1"/>
    <col min="2" max="2" width="7.81640625" customWidth="1"/>
    <col min="5" max="5" width="68.269531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140</v>
      </c>
      <c r="B2">
        <v>0.73499999999999999</v>
      </c>
      <c r="C2">
        <v>-1</v>
      </c>
      <c r="D2">
        <v>-1</v>
      </c>
      <c r="E2" t="s">
        <v>141</v>
      </c>
    </row>
    <row r="3" spans="1:5" x14ac:dyDescent="0.25">
      <c r="A3" t="s">
        <v>223</v>
      </c>
      <c r="B3">
        <v>0.54598999999999998</v>
      </c>
      <c r="C3">
        <v>-1</v>
      </c>
      <c r="D3">
        <v>-1</v>
      </c>
      <c r="E3" t="s">
        <v>221</v>
      </c>
    </row>
    <row r="4" spans="1:5" x14ac:dyDescent="0.25">
      <c r="A4" t="s">
        <v>48</v>
      </c>
      <c r="B4">
        <v>7.2731469999999998E-3</v>
      </c>
      <c r="C4">
        <v>-1</v>
      </c>
      <c r="D4">
        <v>-1</v>
      </c>
      <c r="E4" t="s">
        <v>215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zoomScaleNormal="100" workbookViewId="0">
      <selection activeCell="A4" sqref="A4:XFD4"/>
    </sheetView>
  </sheetViews>
  <sheetFormatPr baseColWidth="10" defaultColWidth="10.7265625" defaultRowHeight="12.5" x14ac:dyDescent="0.25"/>
  <cols>
    <col min="1" max="1" width="28.453125" customWidth="1"/>
    <col min="2" max="2" width="7.81640625" customWidth="1"/>
    <col min="5" max="5" width="68.269531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140</v>
      </c>
      <c r="B2">
        <v>0.72</v>
      </c>
      <c r="C2">
        <v>-1</v>
      </c>
      <c r="D2">
        <v>-1</v>
      </c>
      <c r="E2" t="s">
        <v>141</v>
      </c>
    </row>
    <row r="3" spans="1:5" x14ac:dyDescent="0.25">
      <c r="A3" t="s">
        <v>223</v>
      </c>
      <c r="B3">
        <v>0.72406700000000002</v>
      </c>
      <c r="C3">
        <v>-1</v>
      </c>
      <c r="D3">
        <v>-1</v>
      </c>
      <c r="E3" t="s">
        <v>221</v>
      </c>
    </row>
    <row r="4" spans="1:5" x14ac:dyDescent="0.25">
      <c r="A4" t="s">
        <v>48</v>
      </c>
      <c r="B4">
        <v>4.6668550000000001E-3</v>
      </c>
      <c r="C4">
        <v>-1</v>
      </c>
      <c r="D4">
        <v>-1</v>
      </c>
      <c r="E4" t="s">
        <v>215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zoomScaleNormal="100" workbookViewId="0">
      <selection activeCell="B4" sqref="B4"/>
    </sheetView>
  </sheetViews>
  <sheetFormatPr baseColWidth="10" defaultColWidth="10.7265625" defaultRowHeight="12.5" x14ac:dyDescent="0.25"/>
  <cols>
    <col min="1" max="1" width="28.453125" customWidth="1"/>
    <col min="2" max="2" width="7.81640625" customWidth="1"/>
    <col min="5" max="5" width="68.269531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140</v>
      </c>
      <c r="B2">
        <v>0.70399999999999996</v>
      </c>
      <c r="C2">
        <v>-1</v>
      </c>
      <c r="D2">
        <v>-1</v>
      </c>
      <c r="E2" t="s">
        <v>141</v>
      </c>
    </row>
    <row r="3" spans="1:5" x14ac:dyDescent="0.25">
      <c r="A3" t="s">
        <v>223</v>
      </c>
      <c r="B3">
        <v>1.0619618000000002</v>
      </c>
      <c r="C3">
        <v>-1</v>
      </c>
      <c r="D3">
        <v>-1</v>
      </c>
      <c r="E3" t="s">
        <v>221</v>
      </c>
    </row>
    <row r="4" spans="1:5" x14ac:dyDescent="0.25">
      <c r="A4" t="s">
        <v>48</v>
      </c>
      <c r="B4">
        <v>4.9061423200000001E-3</v>
      </c>
      <c r="C4">
        <v>-1</v>
      </c>
      <c r="D4">
        <v>-1</v>
      </c>
      <c r="E4" t="s">
        <v>215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zoomScaleNormal="100" workbookViewId="0">
      <selection activeCell="B4" sqref="B4"/>
    </sheetView>
  </sheetViews>
  <sheetFormatPr baseColWidth="10" defaultColWidth="10.7265625" defaultRowHeight="12.5" x14ac:dyDescent="0.25"/>
  <cols>
    <col min="1" max="1" width="28.453125" customWidth="1"/>
    <col min="2" max="2" width="7.81640625" customWidth="1"/>
    <col min="5" max="5" width="68.269531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140</v>
      </c>
      <c r="B2">
        <v>0.68899999999999995</v>
      </c>
      <c r="C2">
        <v>-1</v>
      </c>
      <c r="D2">
        <v>-1</v>
      </c>
      <c r="E2" t="s">
        <v>141</v>
      </c>
    </row>
    <row r="3" spans="1:5" x14ac:dyDescent="0.25">
      <c r="A3" t="s">
        <v>223</v>
      </c>
      <c r="B3">
        <v>1.6896410000000004</v>
      </c>
      <c r="C3">
        <v>-1</v>
      </c>
      <c r="D3">
        <v>-1</v>
      </c>
      <c r="E3" t="s">
        <v>221</v>
      </c>
    </row>
    <row r="4" spans="1:5" x14ac:dyDescent="0.25">
      <c r="A4" t="s">
        <v>48</v>
      </c>
      <c r="B4">
        <v>6.7242132700000004E-3</v>
      </c>
      <c r="C4">
        <v>-1</v>
      </c>
      <c r="D4">
        <v>-1</v>
      </c>
      <c r="E4" t="s">
        <v>215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zoomScaleNormal="100" workbookViewId="0">
      <selection activeCell="B4" sqref="B4"/>
    </sheetView>
  </sheetViews>
  <sheetFormatPr baseColWidth="10" defaultColWidth="10.7265625" defaultRowHeight="12.5" x14ac:dyDescent="0.25"/>
  <cols>
    <col min="1" max="1" width="28.453125" customWidth="1"/>
    <col min="2" max="2" width="7.81640625" customWidth="1"/>
    <col min="5" max="5" width="68.269531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140</v>
      </c>
      <c r="B2">
        <v>0.67300000000000004</v>
      </c>
      <c r="C2">
        <v>-1</v>
      </c>
      <c r="D2">
        <v>-1</v>
      </c>
      <c r="E2" t="s">
        <v>141</v>
      </c>
    </row>
    <row r="3" spans="1:5" x14ac:dyDescent="0.25">
      <c r="A3" t="s">
        <v>223</v>
      </c>
      <c r="B3">
        <v>3.0649205999999998</v>
      </c>
      <c r="C3">
        <v>-1</v>
      </c>
      <c r="D3">
        <v>-1</v>
      </c>
      <c r="E3" t="s">
        <v>221</v>
      </c>
    </row>
    <row r="4" spans="1:5" x14ac:dyDescent="0.25">
      <c r="A4" t="s">
        <v>48</v>
      </c>
      <c r="B4">
        <v>7.0145402200000005E-3</v>
      </c>
      <c r="C4">
        <v>-1</v>
      </c>
      <c r="D4">
        <v>-1</v>
      </c>
      <c r="E4" t="s">
        <v>215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zoomScaleNormal="100" workbookViewId="0">
      <selection activeCell="B4" sqref="B4"/>
    </sheetView>
  </sheetViews>
  <sheetFormatPr baseColWidth="10" defaultColWidth="10.7265625" defaultRowHeight="12.5" x14ac:dyDescent="0.25"/>
  <cols>
    <col min="1" max="1" width="28.453125" customWidth="1"/>
    <col min="2" max="2" width="7.81640625" customWidth="1"/>
    <col min="5" max="5" width="68.269531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140</v>
      </c>
      <c r="B2">
        <v>0.65800000000000003</v>
      </c>
      <c r="C2">
        <v>-1</v>
      </c>
      <c r="D2">
        <v>-1</v>
      </c>
      <c r="E2" t="s">
        <v>141</v>
      </c>
    </row>
    <row r="3" spans="1:5" x14ac:dyDescent="0.25">
      <c r="A3" t="s">
        <v>223</v>
      </c>
      <c r="B3">
        <v>5.4896726000000005</v>
      </c>
      <c r="C3">
        <v>-1</v>
      </c>
      <c r="D3">
        <v>-1</v>
      </c>
      <c r="E3" t="s">
        <v>221</v>
      </c>
    </row>
    <row r="4" spans="1:5" x14ac:dyDescent="0.25">
      <c r="A4" t="s">
        <v>48</v>
      </c>
      <c r="B4">
        <v>7.4679464300000005E-3</v>
      </c>
      <c r="C4">
        <v>-1</v>
      </c>
      <c r="D4">
        <v>-1</v>
      </c>
      <c r="E4" t="s">
        <v>215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zoomScaleNormal="100" workbookViewId="0">
      <selection activeCell="B4" sqref="B4"/>
    </sheetView>
  </sheetViews>
  <sheetFormatPr baseColWidth="10" defaultColWidth="10.7265625" defaultRowHeight="12.5" x14ac:dyDescent="0.25"/>
  <cols>
    <col min="1" max="1" width="28.453125" customWidth="1"/>
    <col min="2" max="2" width="7.81640625" customWidth="1"/>
    <col min="5" max="5" width="68.269531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140</v>
      </c>
      <c r="B2">
        <v>0.64300000000000002</v>
      </c>
      <c r="C2">
        <v>-1</v>
      </c>
      <c r="D2">
        <v>-1</v>
      </c>
      <c r="E2" t="s">
        <v>141</v>
      </c>
    </row>
    <row r="3" spans="1:5" x14ac:dyDescent="0.25">
      <c r="A3" t="s">
        <v>223</v>
      </c>
      <c r="B3">
        <v>8.9386169999999989</v>
      </c>
      <c r="C3">
        <v>-1</v>
      </c>
      <c r="D3">
        <v>-1</v>
      </c>
      <c r="E3" t="s">
        <v>221</v>
      </c>
    </row>
    <row r="4" spans="1:5" x14ac:dyDescent="0.25">
      <c r="A4" t="s">
        <v>48</v>
      </c>
      <c r="B4">
        <v>7.8220122200000006E-3</v>
      </c>
      <c r="C4">
        <v>-1</v>
      </c>
      <c r="D4">
        <v>-1</v>
      </c>
      <c r="E4" t="s">
        <v>215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zoomScaleNormal="100" workbookViewId="0">
      <selection activeCell="B4" sqref="B4"/>
    </sheetView>
  </sheetViews>
  <sheetFormatPr baseColWidth="10" defaultColWidth="10.7265625" defaultRowHeight="12.5" x14ac:dyDescent="0.25"/>
  <cols>
    <col min="1" max="1" width="28.453125" customWidth="1"/>
    <col min="2" max="2" width="7.81640625" customWidth="1"/>
    <col min="5" max="5" width="68.269531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140</v>
      </c>
      <c r="B2">
        <v>0.627</v>
      </c>
      <c r="C2">
        <v>-1</v>
      </c>
      <c r="D2">
        <v>-1</v>
      </c>
      <c r="E2" t="s">
        <v>141</v>
      </c>
    </row>
    <row r="3" spans="1:5" x14ac:dyDescent="0.25">
      <c r="A3" t="s">
        <v>223</v>
      </c>
      <c r="B3">
        <v>13.8767008</v>
      </c>
      <c r="C3">
        <v>-1</v>
      </c>
      <c r="D3">
        <v>-1</v>
      </c>
      <c r="E3" t="s">
        <v>221</v>
      </c>
    </row>
    <row r="4" spans="1:5" x14ac:dyDescent="0.25">
      <c r="A4" t="s">
        <v>48</v>
      </c>
      <c r="B4">
        <v>8.1663922700000013E-3</v>
      </c>
      <c r="C4">
        <v>-1</v>
      </c>
      <c r="D4">
        <v>-1</v>
      </c>
      <c r="E4" t="s">
        <v>215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zoomScaleNormal="100" workbookViewId="0">
      <selection activeCell="B4" sqref="B4"/>
    </sheetView>
  </sheetViews>
  <sheetFormatPr baseColWidth="10" defaultColWidth="10.7265625" defaultRowHeight="12.5" x14ac:dyDescent="0.25"/>
  <cols>
    <col min="1" max="1" width="28.453125" customWidth="1"/>
    <col min="2" max="2" width="7.81640625" customWidth="1"/>
    <col min="5" max="5" width="68.269531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140</v>
      </c>
      <c r="B2">
        <v>0.61199999999999999</v>
      </c>
      <c r="C2">
        <v>-1</v>
      </c>
      <c r="D2">
        <v>-1</v>
      </c>
      <c r="E2" t="s">
        <v>141</v>
      </c>
    </row>
    <row r="3" spans="1:5" x14ac:dyDescent="0.25">
      <c r="A3" t="s">
        <v>223</v>
      </c>
      <c r="B3">
        <v>21.041529599999997</v>
      </c>
      <c r="C3">
        <v>-1</v>
      </c>
      <c r="D3">
        <v>-1</v>
      </c>
      <c r="E3" t="s">
        <v>221</v>
      </c>
    </row>
    <row r="4" spans="1:5" x14ac:dyDescent="0.25">
      <c r="A4" t="s">
        <v>48</v>
      </c>
      <c r="B4">
        <v>8.5899804400000005E-3</v>
      </c>
      <c r="C4">
        <v>-1</v>
      </c>
      <c r="D4">
        <v>-1</v>
      </c>
      <c r="E4" t="s">
        <v>215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"/>
  <sheetViews>
    <sheetView zoomScaleNormal="100" workbookViewId="0">
      <selection activeCell="B4" sqref="B4"/>
    </sheetView>
  </sheetViews>
  <sheetFormatPr baseColWidth="10" defaultColWidth="10.7265625" defaultRowHeight="12.5" x14ac:dyDescent="0.25"/>
  <cols>
    <col min="1" max="1" width="28.453125" customWidth="1"/>
    <col min="2" max="2" width="7.81640625" customWidth="1"/>
    <col min="5" max="5" width="68.269531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140</v>
      </c>
      <c r="B2">
        <v>0.59699999999999998</v>
      </c>
      <c r="C2">
        <v>-1</v>
      </c>
      <c r="D2">
        <v>-1</v>
      </c>
      <c r="E2" t="s">
        <v>141</v>
      </c>
    </row>
    <row r="3" spans="1:5" x14ac:dyDescent="0.25">
      <c r="A3" t="s">
        <v>223</v>
      </c>
      <c r="B3">
        <v>34.665382399999999</v>
      </c>
      <c r="C3">
        <v>-1</v>
      </c>
      <c r="D3">
        <v>-1</v>
      </c>
      <c r="E3" t="s">
        <v>221</v>
      </c>
    </row>
    <row r="4" spans="1:5" x14ac:dyDescent="0.25">
      <c r="A4" t="s">
        <v>48</v>
      </c>
      <c r="B4">
        <v>8.9431295400000024E-3</v>
      </c>
      <c r="C4">
        <v>-1</v>
      </c>
      <c r="D4">
        <v>-1</v>
      </c>
      <c r="E4" t="s">
        <v>215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"/>
  <sheetViews>
    <sheetView zoomScaleNormal="100" workbookViewId="0">
      <selection activeCell="A3" sqref="A3"/>
    </sheetView>
  </sheetViews>
  <sheetFormatPr baseColWidth="10" defaultColWidth="10.7265625" defaultRowHeight="12.5" x14ac:dyDescent="0.25"/>
  <cols>
    <col min="1" max="1" width="22.81640625" bestFit="1" customWidth="1"/>
    <col min="2" max="2" width="17.81640625" bestFit="1" customWidth="1"/>
    <col min="5" max="5" width="68.269531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140</v>
      </c>
      <c r="B2">
        <v>0.58099999999999996</v>
      </c>
      <c r="C2">
        <v>-1</v>
      </c>
      <c r="D2">
        <v>-1</v>
      </c>
      <c r="E2" t="s">
        <v>141</v>
      </c>
    </row>
    <row r="3" spans="1:5" x14ac:dyDescent="0.25">
      <c r="A3" t="s">
        <v>223</v>
      </c>
      <c r="B3">
        <v>59.474549199999998</v>
      </c>
      <c r="C3">
        <v>-1</v>
      </c>
      <c r="D3">
        <v>-1</v>
      </c>
      <c r="E3" t="s">
        <v>221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13035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y25_29</vt:lpstr>
      <vt:lpstr>y30_34</vt:lpstr>
      <vt:lpstr>y35_39</vt:lpstr>
      <vt:lpstr>y40_44</vt:lpstr>
      <vt:lpstr>y45_49</vt:lpstr>
      <vt:lpstr>y50_54</vt:lpstr>
      <vt:lpstr>y55_59</vt:lpstr>
      <vt:lpstr>y60_64</vt:lpstr>
      <vt:lpstr>y65_69</vt:lpstr>
      <vt:lpstr>y70_74</vt:lpstr>
      <vt:lpstr>y75_79</vt:lpstr>
      <vt:lpstr>y80_84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Gómez Guillén, David</cp:lastModifiedBy>
  <cp:revision>31</cp:revision>
  <dcterms:created xsi:type="dcterms:W3CDTF">2020-01-03T09:55:15Z</dcterms:created>
  <dcterms:modified xsi:type="dcterms:W3CDTF">2025-04-14T22:32:20Z</dcterms:modified>
  <dc:language>en-US</dc:language>
</cp:coreProperties>
</file>