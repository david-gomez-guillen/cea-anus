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Z:\home\david\anus\params\"/>
    </mc:Choice>
  </mc:AlternateContent>
  <xr:revisionPtr revIDLastSave="0" documentId="8_{A3FCF59B-0267-43EB-93FD-6D5C0E148BC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ortal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0" i="1" l="1"/>
  <c r="F100" i="1"/>
  <c r="F90" i="1"/>
  <c r="F80" i="1"/>
  <c r="F70" i="1"/>
  <c r="F60" i="1"/>
  <c r="F50" i="1"/>
  <c r="F40" i="1"/>
  <c r="F30" i="1"/>
  <c r="F20" i="1"/>
  <c r="F10" i="1"/>
</calcChain>
</file>

<file path=xl/sharedStrings.xml><?xml version="1.0" encoding="utf-8"?>
<sst xmlns="http://schemas.openxmlformats.org/spreadsheetml/2006/main" count="129" uniqueCount="74">
  <si>
    <t>Resultados nacionales, por comunidades autónomas y provincias</t>
  </si>
  <si>
    <t>Series desde 1991</t>
  </si>
  <si>
    <t/>
  </si>
  <si>
    <t>Tablas de mortalidad por año, sexo, edad y funciones.</t>
  </si>
  <si>
    <t>Unidades:   Personas,   %1000,   Años,   Años-persona</t>
  </si>
  <si>
    <t xml:space="preserve"> </t>
  </si>
  <si>
    <t>Tasa de mortalidad</t>
  </si>
  <si>
    <t>Hombres</t>
  </si>
  <si>
    <t xml:space="preserve">    25 años</t>
  </si>
  <si>
    <t xml:space="preserve">        2023</t>
  </si>
  <si>
    <t xml:space="preserve">    26 años</t>
  </si>
  <si>
    <t xml:space="preserve">    27 años</t>
  </si>
  <si>
    <t xml:space="preserve">    28 años</t>
  </si>
  <si>
    <t xml:space="preserve">    29 años</t>
  </si>
  <si>
    <t xml:space="preserve">    30 años</t>
  </si>
  <si>
    <t xml:space="preserve">    31 años</t>
  </si>
  <si>
    <t xml:space="preserve">    32 años</t>
  </si>
  <si>
    <t xml:space="preserve">    33 años</t>
  </si>
  <si>
    <t xml:space="preserve">    34 años</t>
  </si>
  <si>
    <t xml:space="preserve">    35 años</t>
  </si>
  <si>
    <t xml:space="preserve">    36 años</t>
  </si>
  <si>
    <t xml:space="preserve">    37 años</t>
  </si>
  <si>
    <t xml:space="preserve">    38 años</t>
  </si>
  <si>
    <t xml:space="preserve">    39 años</t>
  </si>
  <si>
    <t xml:space="preserve">    40 años</t>
  </si>
  <si>
    <t xml:space="preserve">    41 años</t>
  </si>
  <si>
    <t xml:space="preserve">    42 años</t>
  </si>
  <si>
    <t xml:space="preserve">    43 años</t>
  </si>
  <si>
    <t xml:space="preserve">    44 años</t>
  </si>
  <si>
    <t xml:space="preserve">    45 años</t>
  </si>
  <si>
    <t xml:space="preserve">    46 años</t>
  </si>
  <si>
    <t xml:space="preserve">    47 años</t>
  </si>
  <si>
    <t xml:space="preserve">    48 años</t>
  </si>
  <si>
    <t xml:space="preserve">    49 años</t>
  </si>
  <si>
    <t xml:space="preserve">    50 años</t>
  </si>
  <si>
    <t xml:space="preserve">    51 años</t>
  </si>
  <si>
    <t xml:space="preserve">    52 años</t>
  </si>
  <si>
    <t xml:space="preserve">    53 años</t>
  </si>
  <si>
    <t xml:space="preserve">    54 años</t>
  </si>
  <si>
    <t xml:space="preserve">    55 años</t>
  </si>
  <si>
    <t xml:space="preserve">    56 años</t>
  </si>
  <si>
    <t xml:space="preserve">    57 años</t>
  </si>
  <si>
    <t xml:space="preserve">    58 años</t>
  </si>
  <si>
    <t xml:space="preserve">    59 años</t>
  </si>
  <si>
    <t xml:space="preserve">    60 años</t>
  </si>
  <si>
    <t xml:space="preserve">    61 años</t>
  </si>
  <si>
    <t xml:space="preserve">    62 años</t>
  </si>
  <si>
    <t xml:space="preserve">    63 años</t>
  </si>
  <si>
    <t xml:space="preserve">    64 años</t>
  </si>
  <si>
    <t xml:space="preserve">    65 años</t>
  </si>
  <si>
    <t xml:space="preserve">    66 años</t>
  </si>
  <si>
    <t xml:space="preserve">    67 años</t>
  </si>
  <si>
    <t xml:space="preserve">    68 años</t>
  </si>
  <si>
    <t xml:space="preserve">    69 años</t>
  </si>
  <si>
    <t xml:space="preserve">    70 años</t>
  </si>
  <si>
    <t xml:space="preserve">    71 años</t>
  </si>
  <si>
    <t xml:space="preserve">    72 años</t>
  </si>
  <si>
    <t xml:space="preserve">    73 años</t>
  </si>
  <si>
    <t xml:space="preserve">    74 años</t>
  </si>
  <si>
    <t xml:space="preserve">    75 años</t>
  </si>
  <si>
    <t xml:space="preserve">    76 años</t>
  </si>
  <si>
    <t xml:space="preserve">    77 años</t>
  </si>
  <si>
    <t xml:space="preserve">    78 años</t>
  </si>
  <si>
    <t xml:space="preserve">    79 años</t>
  </si>
  <si>
    <t>Notas:</t>
  </si>
  <si>
    <t xml:space="preserve">Las tasas de mortalidad y riesgos de muerte están expresados en tanto  por  mil. </t>
  </si>
  <si>
    <t xml:space="preserve">_x000D_
La tasa de mortalidad, el promedio de años vividos el último  año de  vida , el riesgo de muerte, las defunciones teóricas y  la población   estacionaria de edad 100 están referidas al grupo de edad de 100 o más años. </t>
  </si>
  <si>
    <t xml:space="preserve">_x000D_
El promedio de años vividos el último año de vida en el grupo de edad  de 100 y más años corresponde al promedio de años vividos con 100  años cumplidos.     _x000D_
</t>
  </si>
  <si>
    <t xml:space="preserve">    _x000D_
</t>
  </si>
  <si>
    <t xml:space="preserve">            _x000D_
_x000D_
</t>
  </si>
  <si>
    <t>Los datos de 2012 a 2020 se han actualizado con las Estimaciones intercensales de población.</t>
  </si>
  <si>
    <t xml:space="preserve">_x000D_
Los datos de 2021 se han actualizado con la población de los Censos anuales a 1 de enero 2021 y a 1 de enero de 2022._x000D_
</t>
  </si>
  <si>
    <t xml:space="preserve">Fuente: </t>
  </si>
  <si>
    <t>Instituto Nacional de Estadística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</si>
</sst>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5" x14ac:knownFonts="1">
    <font>
      <sz val="11"/>
      <color indexed="8"/>
      <name val="Aptos Narrow"/>
      <family val="2"/>
      <scheme val="minor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Calibri"/>
      <family val="2"/>
    </font>
    <font>
      <sz val="9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5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2" borderId="1" xfId="0" applyFill="1" applyBorder="1"/>
    <xf numFmtId="164" fontId="4" fillId="6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7" borderId="0" xfId="0" applyFill="1"/>
    <xf numFmtId="164" fontId="0" fillId="7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1"/>
  <sheetViews>
    <sheetView tabSelected="1" workbookViewId="0">
      <selection activeCell="H11" sqref="H11"/>
    </sheetView>
  </sheetViews>
  <sheetFormatPr baseColWidth="10" defaultColWidth="8.7265625" defaultRowHeight="14.5" x14ac:dyDescent="0.35"/>
  <cols>
    <col min="1" max="1" width="39.08984375" customWidth="1"/>
    <col min="2" max="2" width="19.54296875" customWidth="1"/>
    <col min="6" max="6" width="13.1796875" style="13" customWidth="1"/>
  </cols>
  <sheetData>
    <row r="1" spans="1:11" x14ac:dyDescent="0.3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3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x14ac:dyDescent="0.35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 x14ac:dyDescent="0.35">
      <c r="A4" s="9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 x14ac:dyDescent="0.35">
      <c r="A5" s="10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35">
      <c r="A6" s="8" t="s">
        <v>2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 x14ac:dyDescent="0.35">
      <c r="A7" s="4" t="s">
        <v>5</v>
      </c>
      <c r="B7" s="2" t="s">
        <v>6</v>
      </c>
    </row>
    <row r="8" spans="1:11" x14ac:dyDescent="0.35">
      <c r="A8" s="11" t="s">
        <v>7</v>
      </c>
      <c r="B8" s="11"/>
    </row>
    <row r="9" spans="1:11" x14ac:dyDescent="0.35">
      <c r="A9" s="12" t="s">
        <v>8</v>
      </c>
      <c r="B9" s="12"/>
    </row>
    <row r="10" spans="1:11" x14ac:dyDescent="0.35">
      <c r="A10" s="3" t="s">
        <v>9</v>
      </c>
      <c r="B10" s="5">
        <v>0.43463499999999999</v>
      </c>
      <c r="F10" s="14">
        <f>AVERAGE(B10,B12,B14,B16,B18)</f>
        <v>0.41997380000000001</v>
      </c>
    </row>
    <row r="11" spans="1:11" x14ac:dyDescent="0.35">
      <c r="A11" s="12" t="s">
        <v>10</v>
      </c>
      <c r="B11" s="12"/>
    </row>
    <row r="12" spans="1:11" x14ac:dyDescent="0.35">
      <c r="A12" s="3" t="s">
        <v>9</v>
      </c>
      <c r="B12" s="5">
        <v>0.35142299999999999</v>
      </c>
    </row>
    <row r="13" spans="1:11" x14ac:dyDescent="0.35">
      <c r="A13" s="12" t="s">
        <v>11</v>
      </c>
      <c r="B13" s="12"/>
    </row>
    <row r="14" spans="1:11" x14ac:dyDescent="0.35">
      <c r="A14" s="3" t="s">
        <v>9</v>
      </c>
      <c r="B14" s="5">
        <v>0.441413</v>
      </c>
    </row>
    <row r="15" spans="1:11" x14ac:dyDescent="0.35">
      <c r="A15" s="12" t="s">
        <v>12</v>
      </c>
      <c r="B15" s="12"/>
    </row>
    <row r="16" spans="1:11" x14ac:dyDescent="0.35">
      <c r="A16" s="3" t="s">
        <v>9</v>
      </c>
      <c r="B16" s="5">
        <v>0.431809</v>
      </c>
    </row>
    <row r="17" spans="1:6" x14ac:dyDescent="0.35">
      <c r="A17" s="12" t="s">
        <v>13</v>
      </c>
      <c r="B17" s="12"/>
    </row>
    <row r="18" spans="1:6" x14ac:dyDescent="0.35">
      <c r="A18" s="3" t="s">
        <v>9</v>
      </c>
      <c r="B18" s="5">
        <v>0.44058900000000001</v>
      </c>
    </row>
    <row r="19" spans="1:6" x14ac:dyDescent="0.35">
      <c r="A19" s="12" t="s">
        <v>14</v>
      </c>
      <c r="B19" s="12"/>
    </row>
    <row r="20" spans="1:6" x14ac:dyDescent="0.35">
      <c r="A20" s="3" t="s">
        <v>9</v>
      </c>
      <c r="B20" s="5">
        <v>0.49723299999999998</v>
      </c>
      <c r="F20" s="14">
        <f>AVERAGE(B20,B22,B24,B26,B28)</f>
        <v>0.54598999999999998</v>
      </c>
    </row>
    <row r="21" spans="1:6" x14ac:dyDescent="0.35">
      <c r="A21" s="12" t="s">
        <v>15</v>
      </c>
      <c r="B21" s="12"/>
    </row>
    <row r="22" spans="1:6" x14ac:dyDescent="0.35">
      <c r="A22" s="3" t="s">
        <v>9</v>
      </c>
      <c r="B22" s="5">
        <v>0.513042</v>
      </c>
    </row>
    <row r="23" spans="1:6" x14ac:dyDescent="0.35">
      <c r="A23" s="12" t="s">
        <v>16</v>
      </c>
      <c r="B23" s="12"/>
    </row>
    <row r="24" spans="1:6" x14ac:dyDescent="0.35">
      <c r="A24" s="3" t="s">
        <v>9</v>
      </c>
      <c r="B24" s="5">
        <v>0.54698800000000003</v>
      </c>
    </row>
    <row r="25" spans="1:6" x14ac:dyDescent="0.35">
      <c r="A25" s="12" t="s">
        <v>17</v>
      </c>
      <c r="B25" s="12"/>
    </row>
    <row r="26" spans="1:6" x14ac:dyDescent="0.35">
      <c r="A26" s="3" t="s">
        <v>9</v>
      </c>
      <c r="B26" s="5">
        <v>0.57614100000000001</v>
      </c>
    </row>
    <row r="27" spans="1:6" x14ac:dyDescent="0.35">
      <c r="A27" s="12" t="s">
        <v>18</v>
      </c>
      <c r="B27" s="12"/>
    </row>
    <row r="28" spans="1:6" x14ac:dyDescent="0.35">
      <c r="A28" s="3" t="s">
        <v>9</v>
      </c>
      <c r="B28" s="5">
        <v>0.59654600000000002</v>
      </c>
    </row>
    <row r="29" spans="1:6" x14ac:dyDescent="0.35">
      <c r="A29" s="12" t="s">
        <v>19</v>
      </c>
      <c r="B29" s="12"/>
    </row>
    <row r="30" spans="1:6" x14ac:dyDescent="0.35">
      <c r="A30" s="3" t="s">
        <v>9</v>
      </c>
      <c r="B30" s="5">
        <v>0.68858600000000003</v>
      </c>
      <c r="F30" s="14">
        <f>AVERAGE(B30,B32,B34,B36,B38)</f>
        <v>0.72406700000000002</v>
      </c>
    </row>
    <row r="31" spans="1:6" x14ac:dyDescent="0.35">
      <c r="A31" s="12" t="s">
        <v>20</v>
      </c>
      <c r="B31" s="12"/>
    </row>
    <row r="32" spans="1:6" x14ac:dyDescent="0.35">
      <c r="A32" s="3" t="s">
        <v>9</v>
      </c>
      <c r="B32" s="5">
        <v>0.57879400000000003</v>
      </c>
    </row>
    <row r="33" spans="1:6" x14ac:dyDescent="0.35">
      <c r="A33" s="12" t="s">
        <v>21</v>
      </c>
      <c r="B33" s="12"/>
    </row>
    <row r="34" spans="1:6" x14ac:dyDescent="0.35">
      <c r="A34" s="3" t="s">
        <v>9</v>
      </c>
      <c r="B34" s="5">
        <v>0.77838799999999997</v>
      </c>
    </row>
    <row r="35" spans="1:6" x14ac:dyDescent="0.35">
      <c r="A35" s="12" t="s">
        <v>22</v>
      </c>
      <c r="B35" s="12"/>
    </row>
    <row r="36" spans="1:6" x14ac:dyDescent="0.35">
      <c r="A36" s="3" t="s">
        <v>9</v>
      </c>
      <c r="B36" s="5">
        <v>0.81431100000000001</v>
      </c>
    </row>
    <row r="37" spans="1:6" x14ac:dyDescent="0.35">
      <c r="A37" s="12" t="s">
        <v>23</v>
      </c>
      <c r="B37" s="12"/>
    </row>
    <row r="38" spans="1:6" x14ac:dyDescent="0.35">
      <c r="A38" s="3" t="s">
        <v>9</v>
      </c>
      <c r="B38" s="5">
        <v>0.76025600000000004</v>
      </c>
    </row>
    <row r="39" spans="1:6" x14ac:dyDescent="0.35">
      <c r="A39" s="12" t="s">
        <v>24</v>
      </c>
      <c r="B39" s="12"/>
    </row>
    <row r="40" spans="1:6" x14ac:dyDescent="0.35">
      <c r="A40" s="3" t="s">
        <v>9</v>
      </c>
      <c r="B40" s="5">
        <v>0.95277999999999996</v>
      </c>
      <c r="F40" s="14">
        <f>AVERAGE(B40,B42,B44,B46,B48)</f>
        <v>1.0619618000000002</v>
      </c>
    </row>
    <row r="41" spans="1:6" x14ac:dyDescent="0.35">
      <c r="A41" s="12" t="s">
        <v>25</v>
      </c>
      <c r="B41" s="12"/>
    </row>
    <row r="42" spans="1:6" x14ac:dyDescent="0.35">
      <c r="A42" s="3" t="s">
        <v>9</v>
      </c>
      <c r="B42" s="5">
        <v>0.95075699999999996</v>
      </c>
    </row>
    <row r="43" spans="1:6" x14ac:dyDescent="0.35">
      <c r="A43" s="12" t="s">
        <v>26</v>
      </c>
      <c r="B43" s="12"/>
    </row>
    <row r="44" spans="1:6" x14ac:dyDescent="0.35">
      <c r="A44" s="3" t="s">
        <v>9</v>
      </c>
      <c r="B44" s="5">
        <v>0.95338500000000004</v>
      </c>
    </row>
    <row r="45" spans="1:6" x14ac:dyDescent="0.35">
      <c r="A45" s="12" t="s">
        <v>27</v>
      </c>
      <c r="B45" s="12"/>
    </row>
    <row r="46" spans="1:6" x14ac:dyDescent="0.35">
      <c r="A46" s="3" t="s">
        <v>9</v>
      </c>
      <c r="B46" s="5">
        <v>1.170479</v>
      </c>
    </row>
    <row r="47" spans="1:6" x14ac:dyDescent="0.35">
      <c r="A47" s="12" t="s">
        <v>28</v>
      </c>
      <c r="B47" s="12"/>
    </row>
    <row r="48" spans="1:6" x14ac:dyDescent="0.35">
      <c r="A48" s="3" t="s">
        <v>9</v>
      </c>
      <c r="B48" s="5">
        <v>1.282408</v>
      </c>
    </row>
    <row r="49" spans="1:6" x14ac:dyDescent="0.35">
      <c r="A49" s="12" t="s">
        <v>29</v>
      </c>
      <c r="B49" s="12"/>
    </row>
    <row r="50" spans="1:6" x14ac:dyDescent="0.35">
      <c r="A50" s="3" t="s">
        <v>9</v>
      </c>
      <c r="B50" s="5">
        <v>1.375553</v>
      </c>
      <c r="F50" s="14">
        <f>AVERAGE(B50,B52,B54,B56,B58)</f>
        <v>1.6896410000000004</v>
      </c>
    </row>
    <row r="51" spans="1:6" x14ac:dyDescent="0.35">
      <c r="A51" s="12" t="s">
        <v>30</v>
      </c>
      <c r="B51" s="12"/>
    </row>
    <row r="52" spans="1:6" x14ac:dyDescent="0.35">
      <c r="A52" s="3" t="s">
        <v>9</v>
      </c>
      <c r="B52" s="5">
        <v>1.563704</v>
      </c>
    </row>
    <row r="53" spans="1:6" x14ac:dyDescent="0.35">
      <c r="A53" s="12" t="s">
        <v>31</v>
      </c>
      <c r="B53" s="12"/>
    </row>
    <row r="54" spans="1:6" x14ac:dyDescent="0.35">
      <c r="A54" s="3" t="s">
        <v>9</v>
      </c>
      <c r="B54" s="5">
        <v>1.6076630000000001</v>
      </c>
    </row>
    <row r="55" spans="1:6" x14ac:dyDescent="0.35">
      <c r="A55" s="12" t="s">
        <v>32</v>
      </c>
      <c r="B55" s="12"/>
    </row>
    <row r="56" spans="1:6" x14ac:dyDescent="0.35">
      <c r="A56" s="3" t="s">
        <v>9</v>
      </c>
      <c r="B56" s="5">
        <v>1.8516010000000001</v>
      </c>
    </row>
    <row r="57" spans="1:6" x14ac:dyDescent="0.35">
      <c r="A57" s="12" t="s">
        <v>33</v>
      </c>
      <c r="B57" s="12"/>
    </row>
    <row r="58" spans="1:6" x14ac:dyDescent="0.35">
      <c r="A58" s="3" t="s">
        <v>9</v>
      </c>
      <c r="B58" s="5">
        <v>2.0496840000000001</v>
      </c>
    </row>
    <row r="59" spans="1:6" x14ac:dyDescent="0.35">
      <c r="A59" s="12" t="s">
        <v>34</v>
      </c>
      <c r="B59" s="12"/>
    </row>
    <row r="60" spans="1:6" x14ac:dyDescent="0.35">
      <c r="A60" s="3" t="s">
        <v>9</v>
      </c>
      <c r="B60" s="5">
        <v>2.3987050000000001</v>
      </c>
      <c r="F60" s="14">
        <f>AVERAGE(B60,B62,B64,B66,B68)</f>
        <v>3.0649205999999998</v>
      </c>
    </row>
    <row r="61" spans="1:6" x14ac:dyDescent="0.35">
      <c r="A61" s="12" t="s">
        <v>35</v>
      </c>
      <c r="B61" s="12"/>
    </row>
    <row r="62" spans="1:6" x14ac:dyDescent="0.35">
      <c r="A62" s="3" t="s">
        <v>9</v>
      </c>
      <c r="B62" s="5">
        <v>2.7460499999999999</v>
      </c>
    </row>
    <row r="63" spans="1:6" x14ac:dyDescent="0.35">
      <c r="A63" s="12" t="s">
        <v>36</v>
      </c>
      <c r="B63" s="12"/>
    </row>
    <row r="64" spans="1:6" x14ac:dyDescent="0.35">
      <c r="A64" s="3" t="s">
        <v>9</v>
      </c>
      <c r="B64" s="5">
        <v>2.8915150000000001</v>
      </c>
    </row>
    <row r="65" spans="1:6" x14ac:dyDescent="0.35">
      <c r="A65" s="12" t="s">
        <v>37</v>
      </c>
      <c r="B65" s="12"/>
    </row>
    <row r="66" spans="1:6" x14ac:dyDescent="0.35">
      <c r="A66" s="3" t="s">
        <v>9</v>
      </c>
      <c r="B66" s="5">
        <v>3.367915</v>
      </c>
    </row>
    <row r="67" spans="1:6" x14ac:dyDescent="0.35">
      <c r="A67" s="12" t="s">
        <v>38</v>
      </c>
      <c r="B67" s="12"/>
    </row>
    <row r="68" spans="1:6" x14ac:dyDescent="0.35">
      <c r="A68" s="3" t="s">
        <v>9</v>
      </c>
      <c r="B68" s="5">
        <v>3.9204180000000002</v>
      </c>
    </row>
    <row r="69" spans="1:6" x14ac:dyDescent="0.35">
      <c r="A69" s="12" t="s">
        <v>39</v>
      </c>
      <c r="B69" s="12"/>
    </row>
    <row r="70" spans="1:6" x14ac:dyDescent="0.35">
      <c r="A70" s="3" t="s">
        <v>9</v>
      </c>
      <c r="B70" s="5">
        <v>4.3564819999999997</v>
      </c>
      <c r="F70" s="14">
        <f>AVERAGE(B70,B72,B74,B76,B78)</f>
        <v>5.4896726000000005</v>
      </c>
    </row>
    <row r="71" spans="1:6" x14ac:dyDescent="0.35">
      <c r="A71" s="12" t="s">
        <v>40</v>
      </c>
      <c r="B71" s="12"/>
    </row>
    <row r="72" spans="1:6" x14ac:dyDescent="0.35">
      <c r="A72" s="3" t="s">
        <v>9</v>
      </c>
      <c r="B72" s="5">
        <v>4.9587760000000003</v>
      </c>
    </row>
    <row r="73" spans="1:6" x14ac:dyDescent="0.35">
      <c r="A73" s="12" t="s">
        <v>41</v>
      </c>
      <c r="B73" s="12"/>
    </row>
    <row r="74" spans="1:6" x14ac:dyDescent="0.35">
      <c r="A74" s="3" t="s">
        <v>9</v>
      </c>
      <c r="B74" s="5">
        <v>5.4354250000000004</v>
      </c>
    </row>
    <row r="75" spans="1:6" x14ac:dyDescent="0.35">
      <c r="A75" s="12" t="s">
        <v>42</v>
      </c>
      <c r="B75" s="12"/>
    </row>
    <row r="76" spans="1:6" x14ac:dyDescent="0.35">
      <c r="A76" s="3" t="s">
        <v>9</v>
      </c>
      <c r="B76" s="5">
        <v>6.2300180000000003</v>
      </c>
    </row>
    <row r="77" spans="1:6" x14ac:dyDescent="0.35">
      <c r="A77" s="12" t="s">
        <v>43</v>
      </c>
      <c r="B77" s="12"/>
    </row>
    <row r="78" spans="1:6" x14ac:dyDescent="0.35">
      <c r="A78" s="3" t="s">
        <v>9</v>
      </c>
      <c r="B78" s="5">
        <v>6.4676619999999998</v>
      </c>
    </row>
    <row r="79" spans="1:6" x14ac:dyDescent="0.35">
      <c r="A79" s="12" t="s">
        <v>44</v>
      </c>
      <c r="B79" s="12"/>
    </row>
    <row r="80" spans="1:6" x14ac:dyDescent="0.35">
      <c r="A80" s="3" t="s">
        <v>9</v>
      </c>
      <c r="B80" s="5">
        <v>7.3860210000000004</v>
      </c>
      <c r="F80" s="14">
        <f>AVERAGE(B80,B82,B84,B86,B88)</f>
        <v>8.9386169999999989</v>
      </c>
    </row>
    <row r="81" spans="1:6" x14ac:dyDescent="0.35">
      <c r="A81" s="12" t="s">
        <v>45</v>
      </c>
      <c r="B81" s="12"/>
    </row>
    <row r="82" spans="1:6" x14ac:dyDescent="0.35">
      <c r="A82" s="3" t="s">
        <v>9</v>
      </c>
      <c r="B82" s="5">
        <v>8.0396400000000003</v>
      </c>
    </row>
    <row r="83" spans="1:6" x14ac:dyDescent="0.35">
      <c r="A83" s="12" t="s">
        <v>46</v>
      </c>
      <c r="B83" s="12"/>
    </row>
    <row r="84" spans="1:6" x14ac:dyDescent="0.35">
      <c r="A84" s="3" t="s">
        <v>9</v>
      </c>
      <c r="B84" s="5">
        <v>8.9328310000000002</v>
      </c>
    </row>
    <row r="85" spans="1:6" x14ac:dyDescent="0.35">
      <c r="A85" s="12" t="s">
        <v>47</v>
      </c>
      <c r="B85" s="12"/>
    </row>
    <row r="86" spans="1:6" x14ac:dyDescent="0.35">
      <c r="A86" s="3" t="s">
        <v>9</v>
      </c>
      <c r="B86" s="5">
        <v>9.6375679999999999</v>
      </c>
    </row>
    <row r="87" spans="1:6" x14ac:dyDescent="0.35">
      <c r="A87" s="12" t="s">
        <v>48</v>
      </c>
      <c r="B87" s="12"/>
    </row>
    <row r="88" spans="1:6" x14ac:dyDescent="0.35">
      <c r="A88" s="3" t="s">
        <v>9</v>
      </c>
      <c r="B88" s="5">
        <v>10.697025</v>
      </c>
    </row>
    <row r="89" spans="1:6" x14ac:dyDescent="0.35">
      <c r="A89" s="12" t="s">
        <v>49</v>
      </c>
      <c r="B89" s="12"/>
    </row>
    <row r="90" spans="1:6" x14ac:dyDescent="0.35">
      <c r="A90" s="3" t="s">
        <v>9</v>
      </c>
      <c r="B90" s="5">
        <v>11.647130000000001</v>
      </c>
      <c r="F90" s="14">
        <f>AVERAGE(B90,B92,B94,B96,B98)</f>
        <v>13.8767008</v>
      </c>
    </row>
    <row r="91" spans="1:6" x14ac:dyDescent="0.35">
      <c r="A91" s="12" t="s">
        <v>50</v>
      </c>
      <c r="B91" s="12"/>
    </row>
    <row r="92" spans="1:6" x14ac:dyDescent="0.35">
      <c r="A92" s="3" t="s">
        <v>9</v>
      </c>
      <c r="B92" s="5">
        <v>12.198592</v>
      </c>
    </row>
    <row r="93" spans="1:6" x14ac:dyDescent="0.35">
      <c r="A93" s="12" t="s">
        <v>51</v>
      </c>
      <c r="B93" s="12"/>
    </row>
    <row r="94" spans="1:6" x14ac:dyDescent="0.35">
      <c r="A94" s="3" t="s">
        <v>9</v>
      </c>
      <c r="B94" s="5">
        <v>14.016372</v>
      </c>
    </row>
    <row r="95" spans="1:6" x14ac:dyDescent="0.35">
      <c r="A95" s="12" t="s">
        <v>52</v>
      </c>
      <c r="B95" s="12"/>
    </row>
    <row r="96" spans="1:6" x14ac:dyDescent="0.35">
      <c r="A96" s="3" t="s">
        <v>9</v>
      </c>
      <c r="B96" s="5">
        <v>14.961287</v>
      </c>
    </row>
    <row r="97" spans="1:6" x14ac:dyDescent="0.35">
      <c r="A97" s="12" t="s">
        <v>53</v>
      </c>
      <c r="B97" s="12"/>
    </row>
    <row r="98" spans="1:6" x14ac:dyDescent="0.35">
      <c r="A98" s="3" t="s">
        <v>9</v>
      </c>
      <c r="B98" s="5">
        <v>16.560123000000001</v>
      </c>
    </row>
    <row r="99" spans="1:6" x14ac:dyDescent="0.35">
      <c r="A99" s="12" t="s">
        <v>54</v>
      </c>
      <c r="B99" s="12"/>
    </row>
    <row r="100" spans="1:6" x14ac:dyDescent="0.35">
      <c r="A100" s="3" t="s">
        <v>9</v>
      </c>
      <c r="B100" s="5">
        <v>17.495215999999999</v>
      </c>
      <c r="F100" s="14">
        <f>AVERAGE(B100,B102,B104,B106,B108)</f>
        <v>21.041529599999997</v>
      </c>
    </row>
    <row r="101" spans="1:6" x14ac:dyDescent="0.35">
      <c r="A101" s="12" t="s">
        <v>55</v>
      </c>
      <c r="B101" s="12"/>
    </row>
    <row r="102" spans="1:6" x14ac:dyDescent="0.35">
      <c r="A102" s="3" t="s">
        <v>9</v>
      </c>
      <c r="B102" s="5">
        <v>19.031672</v>
      </c>
    </row>
    <row r="103" spans="1:6" x14ac:dyDescent="0.35">
      <c r="A103" s="12" t="s">
        <v>56</v>
      </c>
      <c r="B103" s="12"/>
    </row>
    <row r="104" spans="1:6" x14ac:dyDescent="0.35">
      <c r="A104" s="3" t="s">
        <v>9</v>
      </c>
      <c r="B104" s="5">
        <v>20.813873000000001</v>
      </c>
    </row>
    <row r="105" spans="1:6" x14ac:dyDescent="0.35">
      <c r="A105" s="12" t="s">
        <v>57</v>
      </c>
      <c r="B105" s="12"/>
    </row>
    <row r="106" spans="1:6" x14ac:dyDescent="0.35">
      <c r="A106" s="3" t="s">
        <v>9</v>
      </c>
      <c r="B106" s="5">
        <v>22.382712999999999</v>
      </c>
    </row>
    <row r="107" spans="1:6" x14ac:dyDescent="0.35">
      <c r="A107" s="12" t="s">
        <v>58</v>
      </c>
      <c r="B107" s="12"/>
    </row>
    <row r="108" spans="1:6" x14ac:dyDescent="0.35">
      <c r="A108" s="3" t="s">
        <v>9</v>
      </c>
      <c r="B108" s="5">
        <v>25.484173999999999</v>
      </c>
    </row>
    <row r="109" spans="1:6" x14ac:dyDescent="0.35">
      <c r="A109" s="12" t="s">
        <v>59</v>
      </c>
      <c r="B109" s="12"/>
    </row>
    <row r="110" spans="1:6" x14ac:dyDescent="0.35">
      <c r="A110" s="3" t="s">
        <v>9</v>
      </c>
      <c r="B110" s="5">
        <v>28.876878999999999</v>
      </c>
      <c r="F110" s="14">
        <f>AVERAGE(B110,B112,B114,B116,B118)</f>
        <v>34.665382399999999</v>
      </c>
    </row>
    <row r="111" spans="1:6" x14ac:dyDescent="0.35">
      <c r="A111" s="12" t="s">
        <v>60</v>
      </c>
      <c r="B111" s="12"/>
    </row>
    <row r="112" spans="1:6" x14ac:dyDescent="0.35">
      <c r="A112" s="3" t="s">
        <v>9</v>
      </c>
      <c r="B112" s="5">
        <v>30.340411</v>
      </c>
    </row>
    <row r="113" spans="1:2" x14ac:dyDescent="0.35">
      <c r="A113" s="12" t="s">
        <v>61</v>
      </c>
      <c r="B113" s="12"/>
    </row>
    <row r="114" spans="1:2" x14ac:dyDescent="0.35">
      <c r="A114" s="3" t="s">
        <v>9</v>
      </c>
      <c r="B114" s="5">
        <v>34.485171000000001</v>
      </c>
    </row>
    <row r="115" spans="1:2" x14ac:dyDescent="0.35">
      <c r="A115" s="12" t="s">
        <v>62</v>
      </c>
      <c r="B115" s="12"/>
    </row>
    <row r="116" spans="1:2" x14ac:dyDescent="0.35">
      <c r="A116" s="3" t="s">
        <v>9</v>
      </c>
      <c r="B116" s="5">
        <v>37.443005999999997</v>
      </c>
    </row>
    <row r="117" spans="1:2" x14ac:dyDescent="0.35">
      <c r="A117" s="12" t="s">
        <v>63</v>
      </c>
      <c r="B117" s="12"/>
    </row>
    <row r="118" spans="1:2" x14ac:dyDescent="0.35">
      <c r="A118" s="3" t="s">
        <v>9</v>
      </c>
      <c r="B118" s="5">
        <v>42.181444999999997</v>
      </c>
    </row>
    <row r="121" spans="1:2" x14ac:dyDescent="0.35">
      <c r="A121" s="1" t="s">
        <v>64</v>
      </c>
    </row>
    <row r="122" spans="1:2" x14ac:dyDescent="0.35">
      <c r="A122" t="s">
        <v>65</v>
      </c>
    </row>
    <row r="123" spans="1:2" x14ac:dyDescent="0.35">
      <c r="A123" t="s">
        <v>66</v>
      </c>
    </row>
    <row r="124" spans="1:2" x14ac:dyDescent="0.35">
      <c r="A124" t="s">
        <v>67</v>
      </c>
    </row>
    <row r="125" spans="1:2" x14ac:dyDescent="0.35">
      <c r="A125" t="s">
        <v>68</v>
      </c>
    </row>
    <row r="126" spans="1:2" x14ac:dyDescent="0.35">
      <c r="A126" t="s">
        <v>69</v>
      </c>
    </row>
    <row r="127" spans="1:2" x14ac:dyDescent="0.35">
      <c r="A127" t="s">
        <v>70</v>
      </c>
    </row>
    <row r="128" spans="1:2" x14ac:dyDescent="0.35">
      <c r="A128" t="s">
        <v>71</v>
      </c>
    </row>
    <row r="130" spans="1:1" x14ac:dyDescent="0.35">
      <c r="A130" s="1" t="s">
        <v>72</v>
      </c>
    </row>
    <row r="131" spans="1:1" x14ac:dyDescent="0.35">
      <c r="A131" t="s">
        <v>73</v>
      </c>
    </row>
  </sheetData>
  <mergeCells count="62">
    <mergeCell ref="A115:B115"/>
    <mergeCell ref="A117:B117"/>
    <mergeCell ref="A105:B105"/>
    <mergeCell ref="A107:B107"/>
    <mergeCell ref="A109:B109"/>
    <mergeCell ref="A111:B111"/>
    <mergeCell ref="A113:B113"/>
    <mergeCell ref="A95:B95"/>
    <mergeCell ref="A97:B97"/>
    <mergeCell ref="A99:B99"/>
    <mergeCell ref="A101:B101"/>
    <mergeCell ref="A103:B103"/>
    <mergeCell ref="A85:B85"/>
    <mergeCell ref="A87:B87"/>
    <mergeCell ref="A89:B89"/>
    <mergeCell ref="A91:B91"/>
    <mergeCell ref="A93:B93"/>
    <mergeCell ref="A75:B75"/>
    <mergeCell ref="A77:B77"/>
    <mergeCell ref="A79:B79"/>
    <mergeCell ref="A81:B81"/>
    <mergeCell ref="A83:B83"/>
    <mergeCell ref="A65:B65"/>
    <mergeCell ref="A67:B67"/>
    <mergeCell ref="A69:B69"/>
    <mergeCell ref="A71:B71"/>
    <mergeCell ref="A73:B73"/>
    <mergeCell ref="A55:B55"/>
    <mergeCell ref="A57:B57"/>
    <mergeCell ref="A59:B59"/>
    <mergeCell ref="A61:B61"/>
    <mergeCell ref="A63:B63"/>
    <mergeCell ref="A45:B45"/>
    <mergeCell ref="A47:B47"/>
    <mergeCell ref="A49:B49"/>
    <mergeCell ref="A51:B51"/>
    <mergeCell ref="A53:B53"/>
    <mergeCell ref="A35:B35"/>
    <mergeCell ref="A37:B37"/>
    <mergeCell ref="A39:B39"/>
    <mergeCell ref="A41:B41"/>
    <mergeCell ref="A43:B43"/>
    <mergeCell ref="A25:B25"/>
    <mergeCell ref="A27:B27"/>
    <mergeCell ref="A29:B29"/>
    <mergeCell ref="A31:B31"/>
    <mergeCell ref="A33:B33"/>
    <mergeCell ref="A15:B15"/>
    <mergeCell ref="A17:B17"/>
    <mergeCell ref="A19:B19"/>
    <mergeCell ref="A21:B21"/>
    <mergeCell ref="A23:B23"/>
    <mergeCell ref="A6:K6"/>
    <mergeCell ref="A8:B8"/>
    <mergeCell ref="A9:B9"/>
    <mergeCell ref="A11:B11"/>
    <mergeCell ref="A13:B13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Gómez Guillén, David</cp:lastModifiedBy>
  <dcterms:created xsi:type="dcterms:W3CDTF">2025-04-08T20:19:41Z</dcterms:created>
  <dcterms:modified xsi:type="dcterms:W3CDTF">2025-04-08T20:21:48Z</dcterms:modified>
</cp:coreProperties>
</file>